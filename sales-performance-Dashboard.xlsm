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HI\Downloads\drive-download-20260821T081121Z-1-001\"/>
    </mc:Choice>
  </mc:AlternateContent>
  <xr:revisionPtr revIDLastSave="0" documentId="8_{98B9B4AB-66A2-48F9-BF80-2988AA4A1547}" xr6:coauthVersionLast="47" xr6:coauthVersionMax="47" xr10:uidLastSave="{00000000-0000-0000-0000-000000000000}"/>
  <bookViews>
    <workbookView xWindow="-110" yWindow="-110" windowWidth="19420" windowHeight="10300" xr2:uid="{FDF4AB7A-C8A6-4D06-BD6A-EBBA593C5AC0}"/>
  </bookViews>
  <sheets>
    <sheet name="Sheet1"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2" i="1" l="1"/>
  <c r="K142" i="1"/>
  <c r="I142" i="1"/>
  <c r="K141" i="1"/>
  <c r="L141" i="1" s="1"/>
  <c r="I141" i="1"/>
  <c r="I140" i="1"/>
  <c r="K140" i="1" s="1"/>
  <c r="L140" i="1" s="1"/>
  <c r="I139" i="1"/>
  <c r="K139" i="1" s="1"/>
  <c r="L139" i="1" s="1"/>
  <c r="I138" i="1"/>
  <c r="K138" i="1" s="1"/>
  <c r="L138" i="1" s="1"/>
  <c r="I137" i="1"/>
  <c r="K137" i="1" s="1"/>
  <c r="L137" i="1" s="1"/>
  <c r="I136" i="1"/>
  <c r="K136" i="1" s="1"/>
  <c r="L136" i="1" s="1"/>
  <c r="I135" i="1"/>
  <c r="K135" i="1" s="1"/>
  <c r="L135" i="1" s="1"/>
  <c r="K134" i="1"/>
  <c r="L134" i="1" s="1"/>
  <c r="I134" i="1"/>
  <c r="K133" i="1"/>
  <c r="L133" i="1" s="1"/>
  <c r="I133" i="1"/>
  <c r="I132" i="1"/>
  <c r="K132" i="1" s="1"/>
  <c r="L132" i="1" s="1"/>
  <c r="L131" i="1"/>
  <c r="K131" i="1"/>
  <c r="I131" i="1"/>
  <c r="I130" i="1"/>
  <c r="K130" i="1" s="1"/>
  <c r="L130" i="1" s="1"/>
  <c r="K129" i="1"/>
  <c r="L129" i="1" s="1"/>
  <c r="I129" i="1"/>
  <c r="I128" i="1"/>
  <c r="K128" i="1" s="1"/>
  <c r="L128" i="1" s="1"/>
  <c r="I127" i="1"/>
  <c r="K127" i="1" s="1"/>
  <c r="L127" i="1" s="1"/>
  <c r="K126" i="1"/>
  <c r="L126" i="1" s="1"/>
  <c r="I126" i="1"/>
  <c r="K125" i="1"/>
  <c r="L125" i="1" s="1"/>
  <c r="I125" i="1"/>
  <c r="I124" i="1"/>
  <c r="K124" i="1" s="1"/>
  <c r="L124" i="1" s="1"/>
  <c r="L123" i="1"/>
  <c r="K123" i="1"/>
  <c r="I123" i="1"/>
  <c r="I122" i="1"/>
  <c r="K122" i="1" s="1"/>
  <c r="L122" i="1" s="1"/>
  <c r="I121" i="1"/>
  <c r="K121" i="1" s="1"/>
  <c r="L121" i="1" s="1"/>
  <c r="I120" i="1"/>
  <c r="K120" i="1" s="1"/>
  <c r="L120" i="1" s="1"/>
  <c r="I119" i="1"/>
  <c r="K119" i="1" s="1"/>
  <c r="L119" i="1" s="1"/>
  <c r="K118" i="1"/>
  <c r="L118" i="1" s="1"/>
  <c r="I118" i="1"/>
  <c r="K117" i="1"/>
  <c r="L117" i="1" s="1"/>
  <c r="I117" i="1"/>
  <c r="I116" i="1"/>
  <c r="K116" i="1" s="1"/>
  <c r="L116" i="1" s="1"/>
  <c r="L115" i="1"/>
  <c r="K115" i="1"/>
  <c r="I115" i="1"/>
  <c r="I114" i="1"/>
  <c r="K114" i="1" s="1"/>
  <c r="L114" i="1" s="1"/>
  <c r="I113" i="1"/>
  <c r="K113" i="1" s="1"/>
  <c r="L113" i="1" s="1"/>
  <c r="I112" i="1"/>
  <c r="K112" i="1" s="1"/>
  <c r="L112" i="1" s="1"/>
  <c r="I111" i="1"/>
  <c r="K111" i="1" s="1"/>
  <c r="L111" i="1" s="1"/>
  <c r="L110" i="1"/>
  <c r="K110" i="1"/>
  <c r="I110" i="1"/>
  <c r="K109" i="1"/>
  <c r="L109" i="1" s="1"/>
  <c r="I109" i="1"/>
  <c r="I108" i="1"/>
  <c r="K108" i="1" s="1"/>
  <c r="L108" i="1" s="1"/>
  <c r="L107" i="1"/>
  <c r="K107" i="1"/>
  <c r="I107" i="1"/>
  <c r="I106" i="1"/>
  <c r="K106" i="1" s="1"/>
  <c r="L106" i="1" s="1"/>
  <c r="I105" i="1"/>
  <c r="K105" i="1" s="1"/>
  <c r="L105" i="1" s="1"/>
  <c r="I104" i="1"/>
  <c r="K104" i="1" s="1"/>
  <c r="L104" i="1" s="1"/>
  <c r="I103" i="1"/>
  <c r="K103" i="1" s="1"/>
  <c r="L103" i="1" s="1"/>
  <c r="K102" i="1"/>
  <c r="L102" i="1" s="1"/>
  <c r="I102" i="1"/>
  <c r="K101" i="1"/>
  <c r="L101" i="1" s="1"/>
  <c r="I101" i="1"/>
  <c r="I100" i="1"/>
  <c r="K100" i="1" s="1"/>
  <c r="L100" i="1" s="1"/>
  <c r="L99" i="1"/>
  <c r="K99" i="1"/>
  <c r="I99" i="1"/>
  <c r="I98" i="1"/>
  <c r="K98" i="1" s="1"/>
  <c r="L98" i="1" s="1"/>
  <c r="K97" i="1"/>
  <c r="L97" i="1" s="1"/>
  <c r="I97" i="1"/>
  <c r="I96" i="1"/>
  <c r="K96" i="1" s="1"/>
  <c r="L96" i="1" s="1"/>
  <c r="I95" i="1"/>
  <c r="K95" i="1" s="1"/>
  <c r="L95" i="1" s="1"/>
  <c r="K94" i="1"/>
  <c r="L94" i="1" s="1"/>
  <c r="I94" i="1"/>
  <c r="K93" i="1"/>
  <c r="L93" i="1" s="1"/>
  <c r="I93" i="1"/>
  <c r="I92" i="1"/>
  <c r="K92" i="1" s="1"/>
  <c r="L92" i="1" s="1"/>
  <c r="L91" i="1"/>
  <c r="K91" i="1"/>
  <c r="I91" i="1"/>
  <c r="I90" i="1"/>
  <c r="K90" i="1" s="1"/>
  <c r="L90" i="1" s="1"/>
  <c r="I89" i="1"/>
  <c r="K89" i="1" s="1"/>
  <c r="L89" i="1" s="1"/>
  <c r="I88" i="1"/>
  <c r="K88" i="1" s="1"/>
  <c r="L88" i="1" s="1"/>
  <c r="I87" i="1"/>
  <c r="K87" i="1" s="1"/>
  <c r="L87" i="1" s="1"/>
  <c r="K86" i="1"/>
  <c r="L86" i="1" s="1"/>
  <c r="I86" i="1"/>
  <c r="K85" i="1"/>
  <c r="L85" i="1" s="1"/>
  <c r="I85" i="1"/>
  <c r="I84" i="1"/>
  <c r="K84" i="1" s="1"/>
  <c r="L84" i="1" s="1"/>
  <c r="L83" i="1"/>
  <c r="K83" i="1"/>
  <c r="I83" i="1"/>
  <c r="I82" i="1"/>
  <c r="K82" i="1" s="1"/>
  <c r="L82" i="1" s="1"/>
  <c r="I81" i="1"/>
  <c r="K81" i="1" s="1"/>
  <c r="L81" i="1" s="1"/>
  <c r="I80" i="1"/>
  <c r="K80" i="1" s="1"/>
  <c r="L80" i="1" s="1"/>
  <c r="I79" i="1"/>
  <c r="K79" i="1" s="1"/>
  <c r="L79" i="1" s="1"/>
  <c r="L78" i="1"/>
  <c r="K78" i="1"/>
  <c r="I78" i="1"/>
  <c r="K77" i="1"/>
  <c r="L77" i="1" s="1"/>
  <c r="I77" i="1"/>
  <c r="I76" i="1"/>
  <c r="K76" i="1" s="1"/>
  <c r="L76" i="1" s="1"/>
  <c r="L75" i="1"/>
  <c r="K75" i="1"/>
  <c r="I75" i="1"/>
  <c r="I74" i="1"/>
  <c r="K74" i="1" s="1"/>
  <c r="L74" i="1" s="1"/>
  <c r="I73" i="1"/>
  <c r="K73" i="1" s="1"/>
  <c r="L73" i="1" s="1"/>
  <c r="I72" i="1"/>
  <c r="K72" i="1" s="1"/>
  <c r="L72" i="1" s="1"/>
  <c r="I71" i="1"/>
  <c r="K71" i="1" s="1"/>
  <c r="L71" i="1" s="1"/>
  <c r="K70" i="1"/>
  <c r="L70" i="1" s="1"/>
  <c r="I70" i="1"/>
  <c r="K69" i="1"/>
  <c r="L69" i="1" s="1"/>
  <c r="I69" i="1"/>
  <c r="I68" i="1"/>
  <c r="K68" i="1" s="1"/>
  <c r="L68" i="1" s="1"/>
  <c r="L67" i="1"/>
  <c r="K67" i="1"/>
  <c r="I67" i="1"/>
  <c r="I66" i="1"/>
  <c r="K66" i="1" s="1"/>
  <c r="L66" i="1" s="1"/>
  <c r="I65" i="1"/>
  <c r="K65" i="1" s="1"/>
  <c r="L65" i="1" s="1"/>
  <c r="I64" i="1"/>
  <c r="K64" i="1" s="1"/>
  <c r="L64" i="1" s="1"/>
  <c r="I63" i="1"/>
  <c r="K63" i="1" s="1"/>
  <c r="L63" i="1" s="1"/>
  <c r="K62" i="1"/>
  <c r="L62" i="1" s="1"/>
  <c r="I62" i="1"/>
  <c r="K61" i="1"/>
  <c r="L61" i="1" s="1"/>
  <c r="I61" i="1"/>
  <c r="I60" i="1"/>
  <c r="K60" i="1" s="1"/>
  <c r="L60" i="1" s="1"/>
  <c r="L59" i="1"/>
  <c r="K59" i="1"/>
  <c r="I59" i="1"/>
  <c r="I58" i="1"/>
  <c r="K58" i="1" s="1"/>
  <c r="L58" i="1" s="1"/>
  <c r="I57" i="1"/>
  <c r="K57" i="1" s="1"/>
  <c r="L57" i="1" s="1"/>
  <c r="I56" i="1"/>
  <c r="K56" i="1" s="1"/>
  <c r="L56" i="1" s="1"/>
  <c r="I55" i="1"/>
  <c r="K55" i="1" s="1"/>
  <c r="L55" i="1" s="1"/>
  <c r="K54" i="1"/>
  <c r="L54" i="1" s="1"/>
  <c r="I54" i="1"/>
  <c r="K53" i="1"/>
  <c r="L53" i="1" s="1"/>
  <c r="I53" i="1"/>
  <c r="I52" i="1"/>
  <c r="K52" i="1" s="1"/>
  <c r="L52" i="1" s="1"/>
  <c r="L51" i="1"/>
  <c r="K51" i="1"/>
  <c r="I51" i="1"/>
  <c r="I50" i="1"/>
  <c r="K50" i="1" s="1"/>
  <c r="L50" i="1" s="1"/>
  <c r="I49" i="1"/>
  <c r="K49" i="1" s="1"/>
  <c r="L49" i="1" s="1"/>
  <c r="I48" i="1"/>
  <c r="K48" i="1" s="1"/>
  <c r="L48" i="1" s="1"/>
  <c r="I47" i="1"/>
  <c r="K47" i="1" s="1"/>
  <c r="L47" i="1" s="1"/>
  <c r="K46" i="1"/>
  <c r="L46" i="1" s="1"/>
  <c r="I46" i="1"/>
  <c r="K45" i="1"/>
  <c r="L45" i="1" s="1"/>
  <c r="I45" i="1"/>
  <c r="I44" i="1"/>
  <c r="K44" i="1" s="1"/>
  <c r="L44" i="1" s="1"/>
  <c r="L43" i="1"/>
  <c r="K43" i="1"/>
  <c r="I43" i="1"/>
  <c r="I42" i="1"/>
  <c r="K42" i="1" s="1"/>
  <c r="L42" i="1" s="1"/>
  <c r="I41" i="1"/>
  <c r="K41" i="1" s="1"/>
  <c r="L41" i="1" s="1"/>
  <c r="I40" i="1"/>
  <c r="K40" i="1" s="1"/>
  <c r="L40" i="1" s="1"/>
  <c r="I39" i="1"/>
  <c r="K39" i="1" s="1"/>
  <c r="L39" i="1" s="1"/>
  <c r="K38" i="1"/>
  <c r="L38" i="1" s="1"/>
  <c r="I38" i="1"/>
  <c r="K37" i="1"/>
  <c r="L37" i="1" s="1"/>
  <c r="I37" i="1"/>
  <c r="I36" i="1"/>
  <c r="K36" i="1" s="1"/>
  <c r="L36" i="1" s="1"/>
  <c r="L35" i="1"/>
  <c r="K35" i="1"/>
  <c r="I35" i="1"/>
  <c r="I34" i="1"/>
  <c r="K34" i="1" s="1"/>
  <c r="L34" i="1" s="1"/>
  <c r="I33" i="1"/>
  <c r="K33" i="1" s="1"/>
  <c r="L33" i="1" s="1"/>
  <c r="I32" i="1"/>
  <c r="K32" i="1" s="1"/>
  <c r="L32" i="1" s="1"/>
  <c r="I31" i="1"/>
  <c r="K31" i="1" s="1"/>
  <c r="L31" i="1" s="1"/>
  <c r="K30" i="1"/>
  <c r="L30" i="1" s="1"/>
  <c r="I30" i="1"/>
  <c r="K29" i="1"/>
  <c r="L29" i="1" s="1"/>
  <c r="I29" i="1"/>
  <c r="I28" i="1"/>
  <c r="K28" i="1" s="1"/>
  <c r="L28" i="1" s="1"/>
  <c r="L27" i="1"/>
  <c r="K27" i="1"/>
  <c r="I27" i="1"/>
  <c r="I26" i="1"/>
  <c r="K26" i="1" s="1"/>
  <c r="L26" i="1" s="1"/>
  <c r="I25" i="1"/>
  <c r="K25" i="1" s="1"/>
  <c r="L25" i="1" s="1"/>
  <c r="I24" i="1"/>
  <c r="K24" i="1" s="1"/>
  <c r="L24" i="1" s="1"/>
  <c r="I23" i="1"/>
  <c r="K23" i="1" s="1"/>
  <c r="L23" i="1" s="1"/>
  <c r="K22" i="1"/>
  <c r="L22" i="1" s="1"/>
  <c r="I22" i="1"/>
  <c r="K21" i="1"/>
  <c r="L21" i="1" s="1"/>
  <c r="I21" i="1"/>
  <c r="I20" i="1"/>
  <c r="K20" i="1" s="1"/>
  <c r="L20" i="1" s="1"/>
  <c r="L19" i="1"/>
  <c r="K19" i="1"/>
  <c r="I19" i="1"/>
  <c r="I18" i="1"/>
  <c r="K18" i="1" s="1"/>
  <c r="L18" i="1" s="1"/>
  <c r="I17" i="1"/>
  <c r="K17" i="1" s="1"/>
  <c r="L17" i="1" s="1"/>
  <c r="I16" i="1"/>
  <c r="K16" i="1" s="1"/>
  <c r="L16" i="1" s="1"/>
  <c r="I15" i="1"/>
  <c r="K15" i="1" s="1"/>
  <c r="L15" i="1" s="1"/>
  <c r="K14" i="1"/>
  <c r="L14" i="1" s="1"/>
  <c r="I14" i="1"/>
  <c r="I13" i="1"/>
  <c r="K13" i="1" s="1"/>
  <c r="L13" i="1" s="1"/>
  <c r="I12" i="1"/>
  <c r="K12" i="1" s="1"/>
  <c r="L12" i="1" s="1"/>
  <c r="L11" i="1"/>
  <c r="K11" i="1"/>
  <c r="I11" i="1"/>
  <c r="I10" i="1"/>
  <c r="K10" i="1" s="1"/>
  <c r="L10" i="1" s="1"/>
  <c r="K9" i="1"/>
  <c r="L9" i="1" s="1"/>
  <c r="I9" i="1"/>
  <c r="I8" i="1"/>
  <c r="K8" i="1" s="1"/>
  <c r="L8" i="1" s="1"/>
  <c r="I7" i="1"/>
  <c r="K7" i="1" s="1"/>
  <c r="L7" i="1" s="1"/>
  <c r="K6" i="1"/>
  <c r="L6" i="1" s="1"/>
  <c r="I6" i="1"/>
  <c r="I5" i="1"/>
  <c r="K5" i="1" s="1"/>
  <c r="L5" i="1" s="1"/>
  <c r="K4" i="1"/>
  <c r="L4" i="1" s="1"/>
  <c r="I4" i="1"/>
  <c r="L3" i="1"/>
  <c r="K3" i="1"/>
  <c r="I3" i="1"/>
  <c r="I2" i="1"/>
  <c r="K2" i="1" s="1"/>
  <c r="L2" i="1" s="1"/>
</calcChain>
</file>

<file path=xl/sharedStrings.xml><?xml version="1.0" encoding="utf-8"?>
<sst xmlns="http://schemas.openxmlformats.org/spreadsheetml/2006/main" count="463" uniqueCount="306">
  <si>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</si>
  <si>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</si>
  <si>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</si>
  <si>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</si>
  <si>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</si>
  <si>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</si>
  <si>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</si>
  <si>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</si>
  <si>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</si>
  <si>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</si>
  <si>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</si>
  <si>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</si>
  <si>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</si>
  <si>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</si>
  <si>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</si>
  <si>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</si>
  <si>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</si>
  <si>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</si>
  <si>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</si>
  <si>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</si>
  <si>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</si>
  <si>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</si>
  <si>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</si>
  <si>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</si>
  <si>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</si>
  <si>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</si>
  <si>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</si>
  <si>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</si>
  <si>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</si>
  <si>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</si>
  <si>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</si>
  <si>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</si>
  <si>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</si>
  <si>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</si>
  <si>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</si>
  <si>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</si>
  <si>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</si>
  <si>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</si>
  <si>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</si>
  <si>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</si>
  <si>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</si>
  <si>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</si>
  <si>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</si>
  <si>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</si>
  <si>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</si>
  <si>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</si>
  <si>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</si>
  <si>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</si>
  <si>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</si>
  <si>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</si>
  <si>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</si>
  <si>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</si>
  <si>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</si>
  <si>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</si>
  <si>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</si>
  <si>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</si>
  <si>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</si>
  <si>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</si>
  <si>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</si>
  <si>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</si>
  <si>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</si>
  <si>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</si>
  <si>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</si>
  <si>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</si>
  <si>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</si>
  <si>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</si>
  <si>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</si>
  <si>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</si>
  <si>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</si>
  <si>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</si>
  <si>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</si>
  <si>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</si>
  <si>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</si>
  <si>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</si>
  <si>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</si>
  <si>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</si>
  <si>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</si>
  <si>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</si>
  <si>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</si>
  <si>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</si>
  <si>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</si>
  <si>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</si>
  <si>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</si>
  <si>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</si>
  <si>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</si>
  <si>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</si>
  <si>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</si>
  <si>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</si>
  <si>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</si>
  <si>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</si>
  <si>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</si>
  <si>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</si>
  <si>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</si>
  <si>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</si>
  <si>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</si>
  <si>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</si>
  <si>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</si>
  <si>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</si>
  <si>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</si>
  <si>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</si>
  <si>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</si>
  <si>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</si>
  <si>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</si>
  <si>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</si>
  <si>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</si>
  <si>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</si>
  <si>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</si>
  <si>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</si>
  <si>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</si>
  <si>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</si>
  <si>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</si>
  <si>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</si>
  <si>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</si>
  <si>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</si>
  <si>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</si>
  <si>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</si>
  <si>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</si>
  <si>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</si>
  <si>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</si>
  <si>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</si>
  <si>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</si>
  <si>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</si>
  <si>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</si>
  <si>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</si>
  <si>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</si>
  <si>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</si>
  <si>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</si>
  <si>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</si>
  <si>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</si>
  <si>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</si>
  <si>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</si>
  <si>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</si>
  <si>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</si>
  <si>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</si>
  <si>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</si>
  <si>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</si>
  <si>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</si>
  <si>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</si>
  <si>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</si>
  <si>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</si>
  <si>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</si>
  <si>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</si>
  <si>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</si>
  <si>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</si>
  <si>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</si>
  <si>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</si>
  <si>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</si>
  <si>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</si>
  <si>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</si>
  <si>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</si>
  <si>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</si>
  <si>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</si>
  <si>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</si>
  <si>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</si>
  <si>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</si>
  <si>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</si>
  <si>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</si>
  <si>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</si>
  <si>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</si>
  <si>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</si>
  <si>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</si>
  <si>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</si>
  <si>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</si>
  <si>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</si>
  <si>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</si>
  <si>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</si>
  <si>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</si>
  <si>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</si>
  <si>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</si>
  <si>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</si>
  <si>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</si>
  <si>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</si>
  <si>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</si>
  <si>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</si>
  <si>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</si>
  <si>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</si>
  <si>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</si>
  <si>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</si>
  <si>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</si>
  <si>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</si>
  <si>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</si>
  <si>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</si>
  <si>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</si>
  <si>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</si>
  <si>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</si>
  <si>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</si>
  <si>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</si>
  <si>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</si>
  <si>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</si>
  <si>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</si>
  <si>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</si>
  <si>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</si>
  <si>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</si>
  <si>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</si>
  <si>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</si>
  <si>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</si>
  <si>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</si>
  <si>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</si>
  <si>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</si>
  <si>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</si>
  <si>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</si>
  <si>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</si>
  <si>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</si>
  <si>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</si>
  <si>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</si>
  <si>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</si>
  <si>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</si>
  <si>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</si>
  <si>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</si>
  <si>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</si>
  <si>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</si>
  <si>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</si>
  <si>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</si>
  <si>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</si>
  <si>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</si>
  <si>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</si>
  <si>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</si>
  <si>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</si>
  <si>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</si>
  <si>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</si>
  <si>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</si>
  <si>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</si>
  <si>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</si>
  <si>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</si>
  <si>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</si>
  <si>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</si>
  <si>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</si>
  <si>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</si>
  <si>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</si>
  <si>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</si>
  <si>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</si>
  <si>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</si>
  <si>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</si>
  <si>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</si>
  <si>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</si>
  <si>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</si>
  <si>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</si>
  <si>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</si>
  <si>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</si>
  <si>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</si>
  <si>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</si>
  <si>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</si>
  <si>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</si>
  <si>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</si>
  <si>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</si>
  <si>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</si>
  <si>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</si>
  <si>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</si>
  <si>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</si>
  <si>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</si>
  <si>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</si>
  <si>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</si>
  <si>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</si>
  <si>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</si>
  <si>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</si>
  <si>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</si>
  <si>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</si>
  <si>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</si>
  <si>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</si>
  <si>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</si>
  <si>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</si>
  <si>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</si>
  <si>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</si>
  <si>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</si>
  <si>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</si>
  <si>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</si>
  <si>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</si>
  <si>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</si>
  <si>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</si>
  <si>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</si>
  <si>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</si>
  <si>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</si>
  <si>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</si>
  <si>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</si>
  <si>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</si>
  <si>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</si>
  <si>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</si>
  <si>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</si>
  <si>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</si>
  <si>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</si>
  <si>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</si>
  <si>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</si>
  <si>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</si>
  <si>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</si>
  <si>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</si>
  <si>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</si>
  <si>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</si>
  <si>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</si>
  <si>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</si>
  <si>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</si>
  <si>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</si>
  <si>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</si>
  <si>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</si>
  <si>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</si>
  <si>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</si>
  <si>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</si>
  <si>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</si>
  <si>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</si>
  <si>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</si>
  <si>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</si>
  <si>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</si>
  <si>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hoi</t>
  </si>
  <si>
    <t>Row Labels</t>
  </si>
  <si>
    <t>Sum of Total Sales</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</si>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</sst>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34998626667073579"/>
        </patternFill>
      </fill>
    </dxf>
  </dxfs>
  <tableStyles count="1" defaultTableStyle="TableStyleMedium2" defaultPivotStyle="PivotStyleLight16">
    <tableStyle name="Slicer Style 1" pivot="0" table="0" count="5" xr9:uid="{32D63E0C-4249-46F8-9074-8C02867263C6}">
      <tableStyleElement type="wholeTable" dxfId="0"/>
    </tableStyle>
  </tableStyles>
  <extLst>
    <ext xmlns:x14="http://schemas.microsoft.com/office/spreadsheetml/2009/9/main" uri="{46F421CA-312F-682f-3DD2-61675219B42D}">
      <x14:dxfs count="4">
        <dxf>
          <fill>
            <patternFill>
              <bgColor theme="8" tint="0.39994506668294322"/>
            </patternFill>
          </fill>
        </dxf>
        <dxf>
          <fill>
            <patternFill>
              <bgColor theme="9" tint="0.39994506668294322"/>
            </patternFill>
          </fill>
        </dxf>
        <dxf>
          <fill>
            <patternFill>
              <bgColor rgb="FFFFFF00"/>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day 10.xlsm]Sheet1!PivotTable1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Janardan Mishra</c:v>
                </c:pt>
                <c:pt idx="1">
                  <c:v>Kamini Kumar</c:v>
                </c:pt>
                <c:pt idx="2">
                  <c:v>Rekha Agarwal</c:v>
                </c:pt>
                <c:pt idx="3">
                  <c:v>Saroj Parita</c:v>
                </c:pt>
                <c:pt idx="4">
                  <c:v>Shivji Prasad</c:v>
                </c:pt>
              </c:strCache>
            </c:strRef>
          </c:cat>
          <c:val>
            <c:numRef>
              <c:f>Sheet1!$B$4:$B$8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A14F-4FD5-805D-A518375A5F9D}"/>
            </c:ext>
          </c:extLst>
        </c:ser>
        <c:dLbls>
          <c:showLegendKey val="0"/>
          <c:showVal val="0"/>
          <c:showCatName val="0"/>
          <c:showSerName val="0"/>
          <c:showPercent val="0"/>
          <c:showBubbleSize val="0"/>
        </c:dLbls>
        <c:gapWidth val="182"/>
        <c:axId val="548866944"/>
        <c:axId val="548869104"/>
      </c:barChart>
      <c:catAx>
        <c:axId val="548866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869104"/>
        <c:crosses val="autoZero"/>
        <c:auto val="1"/>
        <c:lblAlgn val="ctr"/>
        <c:lblOffset val="100"/>
        <c:noMultiLvlLbl val="0"/>
      </c:catAx>
      <c:valAx>
        <c:axId val="548869104"/>
        <c:scaling>
          <c:orientation val="minMax"/>
        </c:scaling>
        <c:delete val="1"/>
        <c:axPos val="b"/>
        <c:numFmt formatCode="General" sourceLinked="1"/>
        <c:majorTickMark val="none"/>
        <c:minorTickMark val="none"/>
        <c:tickLblPos val="nextTo"/>
        <c:crossAx val="5488669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day 10.xlsm]Sheet1!PivotTable3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40F-43F6-A3A9-F7E697A52CD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40F-43F6-A3A9-F7E697A52CD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40F-43F6-A3A9-F7E697A52CD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40F-43F6-A3A9-F7E697A52CD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40F-43F6-A3A9-F7E697A52CD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Janardan Mishra</c:v>
                </c:pt>
                <c:pt idx="1">
                  <c:v>Kamini Kumar</c:v>
                </c:pt>
                <c:pt idx="2">
                  <c:v>Rekha Agarwal</c:v>
                </c:pt>
                <c:pt idx="3">
                  <c:v>Saroj Parita</c:v>
                </c:pt>
                <c:pt idx="4">
                  <c:v>Shivji Prasad</c:v>
                </c:pt>
              </c:strCache>
            </c:strRef>
          </c:cat>
          <c:val>
            <c:numRef>
              <c:f>Sheet1!$H$4:$H$8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99DD-4374-B5BE-A5FD25E5828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day 10.xlsm]Sheet1!PivotTable4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Anjali Deoram</c:v>
                </c:pt>
                <c:pt idx="1">
                  <c:v>Lilly Lucy</c:v>
                </c:pt>
                <c:pt idx="2">
                  <c:v>Mehnaz Khan</c:v>
                </c:pt>
                <c:pt idx="3">
                  <c:v>Partha Sarathi</c:v>
                </c:pt>
                <c:pt idx="4">
                  <c:v>Raji Abraham</c:v>
                </c:pt>
              </c:strCache>
            </c:strRef>
          </c:cat>
          <c:val>
            <c:numRef>
              <c:f>Sheet1!$K$4:$K$8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6669-4F13-8E9C-2C8FC00B4CE6}"/>
            </c:ext>
          </c:extLst>
        </c:ser>
        <c:dLbls>
          <c:showLegendKey val="0"/>
          <c:showVal val="0"/>
          <c:showCatName val="0"/>
          <c:showSerName val="0"/>
          <c:showPercent val="0"/>
          <c:showBubbleSize val="0"/>
        </c:dLbls>
        <c:smooth val="0"/>
        <c:axId val="553749376"/>
        <c:axId val="553753336"/>
      </c:lineChart>
      <c:catAx>
        <c:axId val="55374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53336"/>
        <c:crosses val="autoZero"/>
        <c:auto val="1"/>
        <c:lblAlgn val="ctr"/>
        <c:lblOffset val="100"/>
        <c:noMultiLvlLbl val="0"/>
      </c:catAx>
      <c:valAx>
        <c:axId val="553753336"/>
        <c:scaling>
          <c:orientation val="minMax"/>
        </c:scaling>
        <c:delete val="1"/>
        <c:axPos val="l"/>
        <c:numFmt formatCode="0.00%" sourceLinked="1"/>
        <c:majorTickMark val="none"/>
        <c:minorTickMark val="none"/>
        <c:tickLblPos val="nextTo"/>
        <c:crossAx val="5537493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8</xdr:row>
      <xdr:rowOff>44726</xdr:rowOff>
    </xdr:from>
    <xdr:to>
      <xdr:col>4</xdr:col>
      <xdr:colOff>1109870</xdr:colOff>
      <xdr:row>17</xdr:row>
      <xdr:rowOff>82826</xdr:rowOff>
    </xdr:to>
    <xdr:graphicFrame macro="">
      <xdr:nvGraphicFramePr>
        <xdr:cNvPr id="2" name="Chart 1">
          <a:extLst>
            <a:ext uri="{FF2B5EF4-FFF2-40B4-BE49-F238E27FC236}">
              <a16:creationId xmlns:a16="http://schemas.microsoft.com/office/drawing/2014/main" id="{98BE46AE-A51D-4D54-6887-8E43C70FA8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5521</xdr:colOff>
      <xdr:row>8</xdr:row>
      <xdr:rowOff>55770</xdr:rowOff>
    </xdr:from>
    <xdr:to>
      <xdr:col>7</xdr:col>
      <xdr:colOff>1165087</xdr:colOff>
      <xdr:row>17</xdr:row>
      <xdr:rowOff>77304</xdr:rowOff>
    </xdr:to>
    <xdr:graphicFrame macro="">
      <xdr:nvGraphicFramePr>
        <xdr:cNvPr id="3" name="Chart 2">
          <a:extLst>
            <a:ext uri="{FF2B5EF4-FFF2-40B4-BE49-F238E27FC236}">
              <a16:creationId xmlns:a16="http://schemas.microsoft.com/office/drawing/2014/main" id="{921AEAD0-7433-89C2-FE75-E0E3CF5C02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93870</xdr:colOff>
      <xdr:row>8</xdr:row>
      <xdr:rowOff>66813</xdr:rowOff>
    </xdr:from>
    <xdr:to>
      <xdr:col>11</xdr:col>
      <xdr:colOff>0</xdr:colOff>
      <xdr:row>17</xdr:row>
      <xdr:rowOff>160131</xdr:rowOff>
    </xdr:to>
    <xdr:graphicFrame macro="">
      <xdr:nvGraphicFramePr>
        <xdr:cNvPr id="4" name="Chart 3">
          <a:extLst>
            <a:ext uri="{FF2B5EF4-FFF2-40B4-BE49-F238E27FC236}">
              <a16:creationId xmlns:a16="http://schemas.microsoft.com/office/drawing/2014/main" id="{79762F79-AB1B-8A8F-48EC-856FCACB70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62997</xdr:rowOff>
    </xdr:from>
    <xdr:to>
      <xdr:col>11</xdr:col>
      <xdr:colOff>2760</xdr:colOff>
      <xdr:row>1</xdr:row>
      <xdr:rowOff>37648</xdr:rowOff>
    </xdr:to>
    <mc:AlternateContent xmlns:mc="http://schemas.openxmlformats.org/markup-compatibility/2006" xmlns:a14="http://schemas.microsoft.com/office/drawing/2010/main">
      <mc:Choice Requires="a14">
        <xdr:graphicFrame macro="[0]!slicerconnection">
          <xdr:nvGraphicFramePr>
            <xdr:cNvPr id="5" name="Region">
              <a:extLst>
                <a:ext uri="{FF2B5EF4-FFF2-40B4-BE49-F238E27FC236}">
                  <a16:creationId xmlns:a16="http://schemas.microsoft.com/office/drawing/2014/main" id="{74EED41D-6AAE-8C94-D03E-4BE68D6294B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62997"/>
              <a:ext cx="9550851" cy="6154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346364</xdr:colOff>
      <xdr:row>1</xdr:row>
      <xdr:rowOff>80818</xdr:rowOff>
    </xdr:from>
    <xdr:to>
      <xdr:col>1</xdr:col>
      <xdr:colOff>357909</xdr:colOff>
      <xdr:row>1</xdr:row>
      <xdr:rowOff>398318</xdr:rowOff>
    </xdr:to>
    <xdr:sp macro="" textlink="">
      <xdr:nvSpPr>
        <xdr:cNvPr id="6" name="Speech Bubble: Rectangle 5">
          <a:extLst>
            <a:ext uri="{FF2B5EF4-FFF2-40B4-BE49-F238E27FC236}">
              <a16:creationId xmlns:a16="http://schemas.microsoft.com/office/drawing/2014/main" id="{0397DF93-001B-0275-AD8B-B05EFFBFE09B}"/>
            </a:ext>
          </a:extLst>
        </xdr:cNvPr>
        <xdr:cNvSpPr/>
      </xdr:nvSpPr>
      <xdr:spPr>
        <a:xfrm>
          <a:off x="346364" y="265545"/>
          <a:ext cx="1027545" cy="317500"/>
        </a:xfrm>
        <a:prstGeom prst="wedge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406400</xdr:colOff>
          <xdr:row>1</xdr:row>
          <xdr:rowOff>133350</xdr:rowOff>
        </xdr:from>
        <xdr:to>
          <xdr:col>1</xdr:col>
          <xdr:colOff>311150</xdr:colOff>
          <xdr:row>1</xdr:row>
          <xdr:rowOff>355600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E5B9B7"/>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ddashboard 1</a:t>
              </a:r>
            </a:p>
          </xdr:txBody>
        </xdr:sp>
        <xdr:clientData/>
      </xdr:twoCellAnchor>
    </mc:Choice>
    <mc:Fallback/>
  </mc:AlternateContent>
  <xdr:twoCellAnchor>
    <xdr:from>
      <xdr:col>3</xdr:col>
      <xdr:colOff>469900</xdr:colOff>
      <xdr:row>1</xdr:row>
      <xdr:rowOff>100446</xdr:rowOff>
    </xdr:from>
    <xdr:to>
      <xdr:col>4</xdr:col>
      <xdr:colOff>481445</xdr:colOff>
      <xdr:row>1</xdr:row>
      <xdr:rowOff>417946</xdr:rowOff>
    </xdr:to>
    <xdr:sp macro="" textlink="">
      <xdr:nvSpPr>
        <xdr:cNvPr id="14" name="Speech Bubble: Rectangle 13">
          <a:extLst>
            <a:ext uri="{FF2B5EF4-FFF2-40B4-BE49-F238E27FC236}">
              <a16:creationId xmlns:a16="http://schemas.microsoft.com/office/drawing/2014/main" id="{633329CF-D6C8-4AC0-8DBB-3F2DBB277628}"/>
            </a:ext>
          </a:extLst>
        </xdr:cNvPr>
        <xdr:cNvSpPr/>
      </xdr:nvSpPr>
      <xdr:spPr>
        <a:xfrm>
          <a:off x="2744355" y="423719"/>
          <a:ext cx="1027545" cy="317500"/>
        </a:xfrm>
        <a:prstGeom prst="wedge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508000</xdr:colOff>
          <xdr:row>1</xdr:row>
          <xdr:rowOff>107950</xdr:rowOff>
        </xdr:from>
        <xdr:to>
          <xdr:col>4</xdr:col>
          <xdr:colOff>412750</xdr:colOff>
          <xdr:row>1</xdr:row>
          <xdr:rowOff>330200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solidFill>
              <a:srgbClr val="E5B9B7"/>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ddashboard 2</a:t>
              </a:r>
            </a:p>
          </xdr:txBody>
        </xdr:sp>
        <xdr:clientData/>
      </xdr:twoCellAnchor>
    </mc:Choice>
    <mc:Fallback/>
  </mc:AlternateContent>
  <xdr:twoCellAnchor>
    <xdr:from>
      <xdr:col>6</xdr:col>
      <xdr:colOff>633846</xdr:colOff>
      <xdr:row>1</xdr:row>
      <xdr:rowOff>96983</xdr:rowOff>
    </xdr:from>
    <xdr:to>
      <xdr:col>7</xdr:col>
      <xdr:colOff>275937</xdr:colOff>
      <xdr:row>1</xdr:row>
      <xdr:rowOff>414483</xdr:rowOff>
    </xdr:to>
    <xdr:sp macro="" textlink="">
      <xdr:nvSpPr>
        <xdr:cNvPr id="15" name="Speech Bubble: Rectangle 14">
          <a:extLst>
            <a:ext uri="{FF2B5EF4-FFF2-40B4-BE49-F238E27FC236}">
              <a16:creationId xmlns:a16="http://schemas.microsoft.com/office/drawing/2014/main" id="{D9C1FC04-1948-4497-9599-DDCDCDBD1C5E}"/>
            </a:ext>
          </a:extLst>
        </xdr:cNvPr>
        <xdr:cNvSpPr/>
      </xdr:nvSpPr>
      <xdr:spPr>
        <a:xfrm>
          <a:off x="5130801" y="281710"/>
          <a:ext cx="1027545" cy="317500"/>
        </a:xfrm>
        <a:prstGeom prst="wedge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152400</xdr:rowOff>
        </xdr:from>
        <xdr:to>
          <xdr:col>7</xdr:col>
          <xdr:colOff>228600</xdr:colOff>
          <xdr:row>1</xdr:row>
          <xdr:rowOff>374650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solidFill>
              <a:srgbClr val="E5B9B7"/>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ddashboard 3</a:t>
              </a:r>
            </a:p>
          </xdr:txBody>
        </xdr:sp>
        <xdr:clientData/>
      </xdr:twoCellAnchor>
    </mc:Choice>
    <mc:Fallback/>
  </mc:AlternateContent>
  <xdr:twoCellAnchor>
    <xdr:from>
      <xdr:col>9</xdr:col>
      <xdr:colOff>624611</xdr:colOff>
      <xdr:row>1</xdr:row>
      <xdr:rowOff>116610</xdr:rowOff>
    </xdr:from>
    <xdr:to>
      <xdr:col>10</xdr:col>
      <xdr:colOff>636156</xdr:colOff>
      <xdr:row>1</xdr:row>
      <xdr:rowOff>434110</xdr:rowOff>
    </xdr:to>
    <xdr:sp macro="" textlink="">
      <xdr:nvSpPr>
        <xdr:cNvPr id="16" name="Speech Bubble: Rectangle 15">
          <a:extLst>
            <a:ext uri="{FF2B5EF4-FFF2-40B4-BE49-F238E27FC236}">
              <a16:creationId xmlns:a16="http://schemas.microsoft.com/office/drawing/2014/main" id="{DEF65EDA-FDFE-4595-8072-6D266058CFC4}"/>
            </a:ext>
          </a:extLst>
        </xdr:cNvPr>
        <xdr:cNvSpPr/>
      </xdr:nvSpPr>
      <xdr:spPr>
        <a:xfrm>
          <a:off x="7950202" y="439883"/>
          <a:ext cx="1027545" cy="317500"/>
        </a:xfrm>
        <a:prstGeom prst="wedge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704850</xdr:colOff>
          <xdr:row>1</xdr:row>
          <xdr:rowOff>120650</xdr:rowOff>
        </xdr:from>
        <xdr:to>
          <xdr:col>10</xdr:col>
          <xdr:colOff>609600</xdr:colOff>
          <xdr:row>1</xdr:row>
          <xdr:rowOff>342900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solidFill>
              <a:srgbClr val="E5B9B7"/>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I" refreshedDate="46274.919469444445" createdVersion="8" refreshedVersion="8" minRefreshableVersion="3" recordCount="141" xr:uid="{F2B59454-6703-45F1-B27A-2829C93201F9}">
  <cacheSource type="worksheet">
    <worksheetSource ref="A1:L142" sheet="Raw data"/>
  </cacheSource>
  <cacheFields count="12">
    <cacheField name="hoi"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784803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2C8012-D3B8-4333-B9C8-328B487D80DD}" name="PivotTable1"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3">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C0E687-D521-447F-BC8B-BCCF88EBBA51}" name="PivotTable4"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3FEEBE-39D5-4044-AD56-22990FF417E6}" name="PivotTable3"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3">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Sum of Target Hit %" fld="10" baseField="0"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41"/>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114"/>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4EB484B-7957-4031-85FE-5D92FD7B2B45}" name="PivotTable2"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Sum of Total Sales" fld="8" baseField="0" baseItem="0"/>
  </dataField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214E615-11AC-48A2-B226-46635D0D7427}" sourceName="Region">
  <pivotTables>
    <pivotTable tabId="2" name="PivotTable4"/>
    <pivotTable tabId="2" name="PivotTable3"/>
    <pivotTable tabId="2" name="PivotTable2"/>
    <pivotTable tabId="2" name="PivotTable1"/>
  </pivotTables>
  <data>
    <tabular pivotCacheId="47848033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90CE2E9-BBF6-4B45-9A30-DE847C3A0DD5}" cache="Slicer_Region" caption="Region" columnCount="8" showCaption="0" style="Slicer Style 1"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B51B2-9059-49A4-96AA-C02D805CF172}">
  <sheetPr codeName="Sheet1"/>
  <dimension ref="A1:K20"/>
  <sheetViews>
    <sheetView tabSelected="1" zoomScale="110" zoomScaleNormal="110" workbookViewId="0">
      <selection activeCell="B1" sqref="B1"/>
    </sheetView>
  </sheetViews>
  <sheetFormatPr defaultRowHeight="14.5" x14ac:dyDescent="0.35"/>
  <cols>
    <col min="1" max="1" width="14.54296875" bestFit="1" customWidth="1"/>
    <col min="2" max="2" width="16.08984375" bestFit="1" customWidth="1"/>
    <col min="3" max="3" width="1.90625" customWidth="1"/>
    <col min="4" max="4" width="14.54296875" bestFit="1" customWidth="1"/>
    <col min="5" max="5" width="16" bestFit="1" customWidth="1"/>
    <col min="6" max="6" width="1.26953125" customWidth="1"/>
    <col min="7" max="7" width="19.81640625" bestFit="1" customWidth="1"/>
    <col min="8" max="8" width="17.453125" bestFit="1" customWidth="1"/>
    <col min="9" max="9" width="3.1796875" customWidth="1"/>
    <col min="10" max="10" width="14.54296875" bestFit="1" customWidth="1"/>
    <col min="11" max="11" width="17.26953125" bestFit="1" customWidth="1"/>
  </cols>
  <sheetData>
    <row r="1" spans="1:11" ht="50.5" customHeight="1" x14ac:dyDescent="0.35">
      <c r="A1" s="12" t="b">
        <v>1</v>
      </c>
      <c r="B1" s="12"/>
      <c r="C1" s="12"/>
      <c r="D1" s="12" t="b">
        <v>1</v>
      </c>
      <c r="E1" s="12"/>
      <c r="F1" s="12"/>
      <c r="G1" s="12" t="b">
        <v>1</v>
      </c>
      <c r="H1" s="12"/>
      <c r="I1" s="12"/>
      <c r="J1" s="12" t="b">
        <v>1</v>
      </c>
      <c r="K1" s="12"/>
    </row>
    <row r="2" spans="1:11" ht="36.5" customHeight="1" x14ac:dyDescent="0.35">
      <c r="A2" s="12"/>
      <c r="B2" s="12"/>
      <c r="C2" s="12"/>
      <c r="D2" s="12"/>
      <c r="E2" s="12"/>
      <c r="F2" s="12"/>
      <c r="G2" s="12"/>
      <c r="H2" s="12"/>
      <c r="I2" s="12"/>
      <c r="J2" s="12"/>
      <c r="K2" s="12"/>
    </row>
    <row r="3" spans="1:11" x14ac:dyDescent="0.35">
      <c r="A3" s="9" t="s">
        <v>302</v>
      </c>
      <c r="B3" t="s">
        <v>303</v>
      </c>
      <c r="D3" s="9" t="s">
        <v>302</v>
      </c>
      <c r="E3" t="s">
        <v>303</v>
      </c>
      <c r="G3" s="9" t="s">
        <v>302</v>
      </c>
      <c r="H3" t="s">
        <v>304</v>
      </c>
      <c r="J3" s="9" t="s">
        <v>302</v>
      </c>
      <c r="K3" t="s">
        <v>305</v>
      </c>
    </row>
    <row r="4" spans="1:11" x14ac:dyDescent="0.35">
      <c r="A4" s="10" t="s">
        <v>238</v>
      </c>
      <c r="B4">
        <v>355</v>
      </c>
      <c r="D4" s="10" t="s">
        <v>286</v>
      </c>
      <c r="E4">
        <v>217</v>
      </c>
      <c r="G4" s="10" t="s">
        <v>238</v>
      </c>
      <c r="H4" s="11">
        <v>0.71</v>
      </c>
      <c r="J4" s="10" t="s">
        <v>286</v>
      </c>
      <c r="K4" s="11">
        <v>0.56600000000000006</v>
      </c>
    </row>
    <row r="5" spans="1:11" x14ac:dyDescent="0.35">
      <c r="A5" s="10" t="s">
        <v>222</v>
      </c>
      <c r="B5">
        <v>322</v>
      </c>
      <c r="D5" s="10" t="s">
        <v>206</v>
      </c>
      <c r="E5">
        <v>205</v>
      </c>
      <c r="G5" s="10" t="s">
        <v>222</v>
      </c>
      <c r="H5" s="11">
        <v>0.64400000000000002</v>
      </c>
      <c r="J5" s="10" t="s">
        <v>206</v>
      </c>
      <c r="K5" s="11">
        <v>0.59000000000000008</v>
      </c>
    </row>
    <row r="6" spans="1:11" x14ac:dyDescent="0.35">
      <c r="A6" s="10" t="s">
        <v>110</v>
      </c>
      <c r="B6">
        <v>350</v>
      </c>
      <c r="D6" s="10" t="s">
        <v>190</v>
      </c>
      <c r="E6">
        <v>215</v>
      </c>
      <c r="G6" s="10" t="s">
        <v>110</v>
      </c>
      <c r="H6" s="11">
        <v>0.7</v>
      </c>
      <c r="J6" s="10" t="s">
        <v>190</v>
      </c>
      <c r="K6" s="11">
        <v>0.57000000000000006</v>
      </c>
    </row>
    <row r="7" spans="1:11" x14ac:dyDescent="0.35">
      <c r="A7" s="10" t="s">
        <v>78</v>
      </c>
      <c r="B7">
        <v>353</v>
      </c>
      <c r="D7" s="10" t="s">
        <v>158</v>
      </c>
      <c r="E7">
        <v>229</v>
      </c>
      <c r="G7" s="10" t="s">
        <v>78</v>
      </c>
      <c r="H7" s="11">
        <v>0.70599999999999996</v>
      </c>
      <c r="J7" s="10" t="s">
        <v>158</v>
      </c>
      <c r="K7" s="11">
        <v>0.54200000000000004</v>
      </c>
    </row>
    <row r="8" spans="1:11" x14ac:dyDescent="0.35">
      <c r="A8" s="10" t="s">
        <v>62</v>
      </c>
      <c r="B8">
        <v>301</v>
      </c>
      <c r="D8" s="10" t="s">
        <v>126</v>
      </c>
      <c r="E8">
        <v>189</v>
      </c>
      <c r="G8" s="10" t="s">
        <v>62</v>
      </c>
      <c r="H8" s="11">
        <v>0.60199999999999998</v>
      </c>
      <c r="J8" s="10" t="s">
        <v>126</v>
      </c>
      <c r="K8" s="11">
        <v>0.622</v>
      </c>
    </row>
    <row r="9" spans="1:11" x14ac:dyDescent="0.35">
      <c r="I9" s="12"/>
      <c r="J9" s="12"/>
      <c r="K9" s="12"/>
    </row>
    <row r="10" spans="1:11" x14ac:dyDescent="0.35">
      <c r="G10" s="12"/>
      <c r="H10" s="12"/>
      <c r="I10" s="12"/>
      <c r="J10" s="12"/>
      <c r="K10" s="12"/>
    </row>
    <row r="11" spans="1:11" x14ac:dyDescent="0.35">
      <c r="G11" s="12"/>
      <c r="H11" s="12"/>
      <c r="I11" s="12"/>
      <c r="J11" s="12"/>
      <c r="K11" s="12"/>
    </row>
    <row r="12" spans="1:11" x14ac:dyDescent="0.35">
      <c r="G12" s="12"/>
      <c r="H12" s="12"/>
      <c r="I12" s="12"/>
      <c r="J12" s="12"/>
      <c r="K12" s="12"/>
    </row>
    <row r="13" spans="1:11" x14ac:dyDescent="0.35">
      <c r="G13" s="12"/>
      <c r="H13" s="12"/>
      <c r="I13" s="12"/>
      <c r="J13" s="12"/>
      <c r="K13" s="12"/>
    </row>
    <row r="14" spans="1:11" x14ac:dyDescent="0.35">
      <c r="G14" s="12"/>
      <c r="H14" s="12"/>
      <c r="I14" s="12"/>
      <c r="J14" s="12"/>
      <c r="K14" s="12"/>
    </row>
    <row r="15" spans="1:11" x14ac:dyDescent="0.35">
      <c r="G15" s="12"/>
      <c r="H15" s="12"/>
      <c r="I15" s="12"/>
      <c r="J15" s="12"/>
      <c r="K15" s="12"/>
    </row>
    <row r="16" spans="1:11" x14ac:dyDescent="0.35">
      <c r="G16" s="12"/>
      <c r="H16" s="12"/>
      <c r="I16" s="12"/>
      <c r="J16" s="12"/>
      <c r="K16" s="12"/>
    </row>
    <row r="17" spans="1:11" x14ac:dyDescent="0.35">
      <c r="G17" s="12"/>
      <c r="H17" s="12"/>
      <c r="I17" s="12"/>
      <c r="J17" s="12"/>
      <c r="K17" s="12"/>
    </row>
    <row r="18" spans="1:11" x14ac:dyDescent="0.35">
      <c r="G18" s="12"/>
      <c r="H18" s="12"/>
      <c r="I18" s="12"/>
      <c r="J18" s="12"/>
      <c r="K18" s="12"/>
    </row>
    <row r="19" spans="1:11" x14ac:dyDescent="0.35">
      <c r="A19" s="12"/>
      <c r="B19" s="12"/>
      <c r="C19" s="12"/>
      <c r="D19" s="12"/>
      <c r="E19" s="12"/>
      <c r="F19" s="12"/>
      <c r="G19" s="12"/>
      <c r="H19" s="12"/>
      <c r="I19" s="12"/>
      <c r="J19" s="12"/>
      <c r="K19" s="12"/>
    </row>
    <row r="20" spans="1:11" x14ac:dyDescent="0.35">
      <c r="A20" s="12"/>
      <c r="B20" s="12"/>
      <c r="C20" s="12"/>
      <c r="D20" s="12"/>
      <c r="E20" s="12"/>
      <c r="F20" s="12"/>
      <c r="G20" s="12"/>
      <c r="H20" s="12"/>
      <c r="I20" s="12"/>
      <c r="J20" s="12"/>
      <c r="K20"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406400</xdr:colOff>
                    <xdr:row>1</xdr:row>
                    <xdr:rowOff>133350</xdr:rowOff>
                  </from>
                  <to>
                    <xdr:col>1</xdr:col>
                    <xdr:colOff>311150</xdr:colOff>
                    <xdr:row>1</xdr:row>
                    <xdr:rowOff>355600</xdr:rowOff>
                  </to>
                </anchor>
              </controlPr>
            </control>
          </mc:Choice>
        </mc:AlternateContent>
        <mc:AlternateContent xmlns:mc="http://schemas.openxmlformats.org/markup-compatibility/2006">
          <mc:Choice Requires="x14">
            <control shapeId="1033" r:id="rId8" name="Check Box 9">
              <controlPr defaultSize="0" autoFill="0" autoLine="0" autoPict="0" macro="[0]!slicerconnection">
                <anchor moveWithCells="1">
                  <from>
                    <xdr:col>3</xdr:col>
                    <xdr:colOff>508000</xdr:colOff>
                    <xdr:row>1</xdr:row>
                    <xdr:rowOff>107950</xdr:rowOff>
                  </from>
                  <to>
                    <xdr:col>4</xdr:col>
                    <xdr:colOff>412750</xdr:colOff>
                    <xdr:row>1</xdr:row>
                    <xdr:rowOff>330200</xdr:rowOff>
                  </to>
                </anchor>
              </controlPr>
            </control>
          </mc:Choice>
        </mc:AlternateContent>
        <mc:AlternateContent xmlns:mc="http://schemas.openxmlformats.org/markup-compatibility/2006">
          <mc:Choice Requires="x14">
            <control shapeId="1034" r:id="rId9" name="Check Box 10">
              <controlPr defaultSize="0" autoFill="0" autoLine="0" autoPict="0" macro="[0]!slicerconnection">
                <anchor moveWithCells="1">
                  <from>
                    <xdr:col>6</xdr:col>
                    <xdr:colOff>692150</xdr:colOff>
                    <xdr:row>1</xdr:row>
                    <xdr:rowOff>152400</xdr:rowOff>
                  </from>
                  <to>
                    <xdr:col>7</xdr:col>
                    <xdr:colOff>228600</xdr:colOff>
                    <xdr:row>1</xdr:row>
                    <xdr:rowOff>374650</xdr:rowOff>
                  </to>
                </anchor>
              </controlPr>
            </control>
          </mc:Choice>
        </mc:AlternateContent>
        <mc:AlternateContent xmlns:mc="http://schemas.openxmlformats.org/markup-compatibility/2006">
          <mc:Choice Requires="x14">
            <control shapeId="1035" r:id="rId10" name="Check Box 11">
              <controlPr defaultSize="0" autoFill="0" autoLine="0" autoPict="0" macro="[0]!slicerconnection">
                <anchor moveWithCells="1">
                  <from>
                    <xdr:col>9</xdr:col>
                    <xdr:colOff>704850</xdr:colOff>
                    <xdr:row>1</xdr:row>
                    <xdr:rowOff>120650</xdr:rowOff>
                  </from>
                  <to>
                    <xdr:col>10</xdr:col>
                    <xdr:colOff>609600</xdr:colOff>
                    <xdr:row>1</xdr:row>
                    <xdr:rowOff>342900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12704-3FB6-49C8-B2CF-C8742E7F3BD2}">
  <sheetPr codeName="Sheet2"/>
  <dimension ref="A1:L142"/>
  <sheetViews>
    <sheetView workbookViewId="0">
      <selection activeCell="B14" sqref="A1:L142"/>
    </sheetView>
  </sheetViews>
  <sheetFormatPr defaultRowHeight="14.5" x14ac:dyDescent="0.35"/>
  <cols>
    <col min="1" max="1" width="10.7265625" bestFit="1" customWidth="1"/>
    <col min="2" max="2" width="19.81640625" bestFit="1" customWidth="1"/>
    <col min="3" max="3" width="7.81640625" bestFit="1" customWidth="1"/>
    <col min="4" max="8" width="4.6328125" bestFit="1" customWidth="1"/>
    <col min="9" max="9" width="9" bestFit="1" customWidth="1"/>
    <col min="10" max="10" width="5.6328125" bestFit="1" customWidth="1"/>
    <col min="11" max="11" width="10.1796875" bestFit="1" customWidth="1"/>
    <col min="12" max="12" width="16.54296875" bestFit="1" customWidth="1"/>
  </cols>
  <sheetData>
    <row r="1" spans="1:12" x14ac:dyDescent="0.35">
      <c r="A1" s="1" t="s">
        <v>301</v>
      </c>
      <c r="B1" s="1" t="s">
        <v>0</v>
      </c>
      <c r="C1" s="1" t="s">
        <v>1</v>
      </c>
      <c r="D1" s="1" t="s">
        <v>2</v>
      </c>
      <c r="E1" s="1" t="s">
        <v>3</v>
      </c>
      <c r="F1" s="1" t="s">
        <v>4</v>
      </c>
      <c r="G1" s="1" t="s">
        <v>5</v>
      </c>
      <c r="H1" s="1" t="s">
        <v>6</v>
      </c>
      <c r="I1" s="1" t="s">
        <v>7</v>
      </c>
      <c r="J1" s="1" t="s">
        <v>8</v>
      </c>
      <c r="K1" s="1" t="s">
        <v>9</v>
      </c>
      <c r="L1" s="1" t="s">
        <v>10</v>
      </c>
    </row>
    <row r="2" spans="1:12" x14ac:dyDescent="0.35">
      <c r="A2" s="2" t="s">
        <v>11</v>
      </c>
      <c r="B2" s="3" t="s">
        <v>12</v>
      </c>
      <c r="C2" s="3" t="s">
        <v>13</v>
      </c>
      <c r="D2" s="4">
        <v>49</v>
      </c>
      <c r="E2" s="4">
        <v>84</v>
      </c>
      <c r="F2" s="4">
        <v>98</v>
      </c>
      <c r="G2" s="4">
        <v>67</v>
      </c>
      <c r="H2" s="4">
        <v>41</v>
      </c>
      <c r="I2" s="5">
        <f>SUM(D2:H2)</f>
        <v>339</v>
      </c>
      <c r="J2" s="5">
        <v>500</v>
      </c>
      <c r="K2" s="6">
        <f>I2/J2</f>
        <v>0.67800000000000005</v>
      </c>
      <c r="L2" s="7">
        <f>100%-K2</f>
        <v>0.32199999999999995</v>
      </c>
    </row>
    <row r="3" spans="1:12" x14ac:dyDescent="0.35">
      <c r="A3" s="2" t="s">
        <v>14</v>
      </c>
      <c r="B3" s="3" t="s">
        <v>15</v>
      </c>
      <c r="C3" s="3" t="s">
        <v>16</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17</v>
      </c>
      <c r="B4" s="3" t="s">
        <v>18</v>
      </c>
      <c r="C4" s="3" t="s">
        <v>19</v>
      </c>
      <c r="D4" s="4">
        <v>45</v>
      </c>
      <c r="E4" s="4">
        <v>79</v>
      </c>
      <c r="F4" s="4">
        <v>88</v>
      </c>
      <c r="G4" s="4">
        <v>73</v>
      </c>
      <c r="H4" s="4">
        <v>94</v>
      </c>
      <c r="I4" s="5">
        <f t="shared" si="0"/>
        <v>379</v>
      </c>
      <c r="J4" s="5">
        <v>500</v>
      </c>
      <c r="K4" s="6">
        <f t="shared" si="1"/>
        <v>0.75800000000000001</v>
      </c>
      <c r="L4" s="7">
        <f t="shared" si="2"/>
        <v>0.24199999999999999</v>
      </c>
    </row>
    <row r="5" spans="1:12" x14ac:dyDescent="0.35">
      <c r="A5" s="2" t="s">
        <v>20</v>
      </c>
      <c r="B5" s="3" t="s">
        <v>21</v>
      </c>
      <c r="C5" s="3" t="s">
        <v>22</v>
      </c>
      <c r="D5" s="4">
        <v>52</v>
      </c>
      <c r="E5" s="4">
        <v>99</v>
      </c>
      <c r="F5" s="4">
        <v>13</v>
      </c>
      <c r="G5" s="4">
        <v>95</v>
      </c>
      <c r="H5" s="4">
        <v>29</v>
      </c>
      <c r="I5" s="5">
        <f t="shared" si="0"/>
        <v>288</v>
      </c>
      <c r="J5" s="5">
        <v>500</v>
      </c>
      <c r="K5" s="6">
        <f t="shared" si="1"/>
        <v>0.57599999999999996</v>
      </c>
      <c r="L5" s="7">
        <f t="shared" si="2"/>
        <v>0.42400000000000004</v>
      </c>
    </row>
    <row r="6" spans="1:12" x14ac:dyDescent="0.35">
      <c r="A6" s="2" t="s">
        <v>23</v>
      </c>
      <c r="B6" s="3" t="s">
        <v>24</v>
      </c>
      <c r="C6" s="3" t="s">
        <v>25</v>
      </c>
      <c r="D6" s="4">
        <v>35</v>
      </c>
      <c r="E6" s="4">
        <v>54</v>
      </c>
      <c r="F6" s="4">
        <v>49</v>
      </c>
      <c r="G6" s="4">
        <v>26</v>
      </c>
      <c r="H6" s="4">
        <v>49</v>
      </c>
      <c r="I6" s="5">
        <f t="shared" si="0"/>
        <v>213</v>
      </c>
      <c r="J6" s="5">
        <v>500</v>
      </c>
      <c r="K6" s="6">
        <f t="shared" si="1"/>
        <v>0.42599999999999999</v>
      </c>
      <c r="L6" s="7">
        <f t="shared" si="2"/>
        <v>0.57400000000000007</v>
      </c>
    </row>
    <row r="7" spans="1:12" x14ac:dyDescent="0.35">
      <c r="A7" s="2" t="s">
        <v>26</v>
      </c>
      <c r="B7" s="3" t="s">
        <v>27</v>
      </c>
      <c r="C7" s="3" t="s">
        <v>28</v>
      </c>
      <c r="D7" s="4">
        <v>86</v>
      </c>
      <c r="E7" s="4">
        <v>31</v>
      </c>
      <c r="F7" s="4">
        <v>23</v>
      </c>
      <c r="G7" s="4">
        <v>48</v>
      </c>
      <c r="H7" s="4">
        <v>77</v>
      </c>
      <c r="I7" s="5">
        <f t="shared" si="0"/>
        <v>265</v>
      </c>
      <c r="J7" s="5">
        <v>500</v>
      </c>
      <c r="K7" s="6">
        <f t="shared" si="1"/>
        <v>0.53</v>
      </c>
      <c r="L7" s="7">
        <f t="shared" si="2"/>
        <v>0.47</v>
      </c>
    </row>
    <row r="8" spans="1:12" x14ac:dyDescent="0.35">
      <c r="A8" s="2" t="s">
        <v>29</v>
      </c>
      <c r="B8" s="3" t="s">
        <v>30</v>
      </c>
      <c r="C8" s="3" t="s">
        <v>31</v>
      </c>
      <c r="D8" s="4">
        <v>84</v>
      </c>
      <c r="E8" s="4">
        <v>28</v>
      </c>
      <c r="F8" s="4">
        <v>98</v>
      </c>
      <c r="G8" s="4">
        <v>80</v>
      </c>
      <c r="H8" s="4">
        <v>79</v>
      </c>
      <c r="I8" s="5">
        <f t="shared" si="0"/>
        <v>369</v>
      </c>
      <c r="J8" s="5">
        <v>500</v>
      </c>
      <c r="K8" s="6">
        <f t="shared" si="1"/>
        <v>0.73799999999999999</v>
      </c>
      <c r="L8" s="7">
        <f t="shared" si="2"/>
        <v>0.26200000000000001</v>
      </c>
    </row>
    <row r="9" spans="1:12" x14ac:dyDescent="0.35">
      <c r="A9" s="2" t="s">
        <v>32</v>
      </c>
      <c r="B9" s="3" t="s">
        <v>33</v>
      </c>
      <c r="C9" s="3" t="s">
        <v>34</v>
      </c>
      <c r="D9" s="4">
        <v>73</v>
      </c>
      <c r="E9" s="4">
        <v>97</v>
      </c>
      <c r="F9" s="4">
        <v>38</v>
      </c>
      <c r="G9" s="4">
        <v>24</v>
      </c>
      <c r="H9" s="4">
        <v>53</v>
      </c>
      <c r="I9" s="5">
        <f t="shared" si="0"/>
        <v>285</v>
      </c>
      <c r="J9" s="5">
        <v>500</v>
      </c>
      <c r="K9" s="6">
        <f t="shared" si="1"/>
        <v>0.56999999999999995</v>
      </c>
      <c r="L9" s="7">
        <f t="shared" si="2"/>
        <v>0.43000000000000005</v>
      </c>
    </row>
    <row r="10" spans="1:12" x14ac:dyDescent="0.35">
      <c r="A10" s="2" t="s">
        <v>35</v>
      </c>
      <c r="B10" s="3" t="s">
        <v>36</v>
      </c>
      <c r="C10" s="3" t="s">
        <v>13</v>
      </c>
      <c r="D10" s="4">
        <v>54</v>
      </c>
      <c r="E10" s="4">
        <v>26</v>
      </c>
      <c r="F10" s="4">
        <v>53</v>
      </c>
      <c r="G10" s="4">
        <v>36</v>
      </c>
      <c r="H10" s="4">
        <v>20</v>
      </c>
      <c r="I10" s="5">
        <f t="shared" si="0"/>
        <v>189</v>
      </c>
      <c r="J10" s="5">
        <v>500</v>
      </c>
      <c r="K10" s="6">
        <f t="shared" si="1"/>
        <v>0.378</v>
      </c>
      <c r="L10" s="7">
        <f t="shared" si="2"/>
        <v>0.622</v>
      </c>
    </row>
    <row r="11" spans="1:12" x14ac:dyDescent="0.35">
      <c r="A11" s="2" t="s">
        <v>37</v>
      </c>
      <c r="B11" s="3" t="s">
        <v>38</v>
      </c>
      <c r="C11" s="3" t="s">
        <v>16</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39</v>
      </c>
      <c r="B12" s="3" t="s">
        <v>40</v>
      </c>
      <c r="C12" s="3" t="s">
        <v>19</v>
      </c>
      <c r="D12" s="4">
        <v>63</v>
      </c>
      <c r="E12" s="4">
        <v>17</v>
      </c>
      <c r="F12" s="4">
        <v>40</v>
      </c>
      <c r="G12" s="4">
        <v>48</v>
      </c>
      <c r="H12" s="4">
        <v>51</v>
      </c>
      <c r="I12" s="5">
        <f t="shared" si="0"/>
        <v>219</v>
      </c>
      <c r="J12" s="5">
        <v>500</v>
      </c>
      <c r="K12" s="6">
        <f t="shared" si="1"/>
        <v>0.438</v>
      </c>
      <c r="L12" s="7">
        <f t="shared" si="2"/>
        <v>0.56200000000000006</v>
      </c>
    </row>
    <row r="13" spans="1:12" x14ac:dyDescent="0.35">
      <c r="A13" s="2" t="s">
        <v>41</v>
      </c>
      <c r="B13" s="3" t="s">
        <v>42</v>
      </c>
      <c r="C13" s="3" t="s">
        <v>22</v>
      </c>
      <c r="D13" s="4">
        <v>79</v>
      </c>
      <c r="E13" s="4">
        <v>99</v>
      </c>
      <c r="F13" s="4">
        <v>95</v>
      </c>
      <c r="G13" s="4">
        <v>12</v>
      </c>
      <c r="H13" s="4">
        <v>91</v>
      </c>
      <c r="I13" s="5">
        <f t="shared" si="0"/>
        <v>376</v>
      </c>
      <c r="J13" s="5">
        <v>500</v>
      </c>
      <c r="K13" s="6">
        <f t="shared" si="1"/>
        <v>0.752</v>
      </c>
      <c r="L13" s="7">
        <f t="shared" si="2"/>
        <v>0.248</v>
      </c>
    </row>
    <row r="14" spans="1:12" x14ac:dyDescent="0.35">
      <c r="A14" s="2" t="s">
        <v>43</v>
      </c>
      <c r="B14" s="3" t="s">
        <v>44</v>
      </c>
      <c r="C14" s="3" t="s">
        <v>25</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45</v>
      </c>
      <c r="B15" s="3" t="s">
        <v>46</v>
      </c>
      <c r="C15" s="3" t="s">
        <v>28</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47</v>
      </c>
      <c r="B16" s="3" t="s">
        <v>48</v>
      </c>
      <c r="C16" s="3" t="s">
        <v>31</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49</v>
      </c>
      <c r="B17" s="3" t="s">
        <v>50</v>
      </c>
      <c r="C17" s="3" t="s">
        <v>34</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51</v>
      </c>
      <c r="B18" s="3" t="s">
        <v>52</v>
      </c>
      <c r="C18" s="3" t="s">
        <v>13</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53</v>
      </c>
      <c r="B19" s="3" t="s">
        <v>54</v>
      </c>
      <c r="C19" s="3" t="s">
        <v>16</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55</v>
      </c>
      <c r="B20" s="3" t="s">
        <v>56</v>
      </c>
      <c r="C20" s="3" t="s">
        <v>19</v>
      </c>
      <c r="D20" s="4">
        <v>19</v>
      </c>
      <c r="E20" s="4">
        <v>34</v>
      </c>
      <c r="F20" s="4">
        <v>64</v>
      </c>
      <c r="G20" s="4">
        <v>65</v>
      </c>
      <c r="H20" s="4">
        <v>70</v>
      </c>
      <c r="I20" s="5">
        <f t="shared" si="0"/>
        <v>252</v>
      </c>
      <c r="J20" s="5">
        <v>500</v>
      </c>
      <c r="K20" s="6">
        <f t="shared" si="1"/>
        <v>0.504</v>
      </c>
      <c r="L20" s="7">
        <f t="shared" si="2"/>
        <v>0.496</v>
      </c>
    </row>
    <row r="21" spans="1:12" x14ac:dyDescent="0.35">
      <c r="A21" s="2" t="s">
        <v>57</v>
      </c>
      <c r="B21" s="3" t="s">
        <v>58</v>
      </c>
      <c r="C21" s="3" t="s">
        <v>22</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59</v>
      </c>
      <c r="B22" s="3" t="s">
        <v>60</v>
      </c>
      <c r="C22" s="3" t="s">
        <v>25</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61</v>
      </c>
      <c r="B23" s="3" t="s">
        <v>62</v>
      </c>
      <c r="C23" s="3" t="s">
        <v>28</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63</v>
      </c>
      <c r="B24" s="3" t="s">
        <v>64</v>
      </c>
      <c r="C24" s="3" t="s">
        <v>31</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65</v>
      </c>
      <c r="B25" s="3" t="s">
        <v>66</v>
      </c>
      <c r="C25" s="3" t="s">
        <v>34</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67</v>
      </c>
      <c r="B26" s="3" t="s">
        <v>68</v>
      </c>
      <c r="C26" s="3" t="s">
        <v>13</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69</v>
      </c>
      <c r="B27" s="3" t="s">
        <v>70</v>
      </c>
      <c r="C27" s="3" t="s">
        <v>16</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71</v>
      </c>
      <c r="B28" s="3" t="s">
        <v>72</v>
      </c>
      <c r="C28" s="3" t="s">
        <v>19</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73</v>
      </c>
      <c r="B29" s="3" t="s">
        <v>74</v>
      </c>
      <c r="C29" s="3" t="s">
        <v>22</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75</v>
      </c>
      <c r="B30" s="3" t="s">
        <v>76</v>
      </c>
      <c r="C30" s="3" t="s">
        <v>25</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77</v>
      </c>
      <c r="B31" s="3" t="s">
        <v>78</v>
      </c>
      <c r="C31" s="3" t="s">
        <v>28</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79</v>
      </c>
      <c r="B32" s="3" t="s">
        <v>80</v>
      </c>
      <c r="C32" s="3" t="s">
        <v>31</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81</v>
      </c>
      <c r="B33" s="3" t="s">
        <v>82</v>
      </c>
      <c r="C33" s="3" t="s">
        <v>34</v>
      </c>
      <c r="D33" s="4">
        <v>37</v>
      </c>
      <c r="E33" s="4">
        <v>30</v>
      </c>
      <c r="F33" s="4">
        <v>19</v>
      </c>
      <c r="G33" s="4">
        <v>77</v>
      </c>
      <c r="H33" s="4">
        <v>67</v>
      </c>
      <c r="I33" s="5">
        <f t="shared" si="0"/>
        <v>230</v>
      </c>
      <c r="J33" s="5">
        <v>500</v>
      </c>
      <c r="K33" s="6">
        <f t="shared" si="1"/>
        <v>0.46</v>
      </c>
      <c r="L33" s="7">
        <f t="shared" si="2"/>
        <v>0.54</v>
      </c>
    </row>
    <row r="34" spans="1:12" x14ac:dyDescent="0.35">
      <c r="A34" s="2" t="s">
        <v>83</v>
      </c>
      <c r="B34" s="3" t="s">
        <v>84</v>
      </c>
      <c r="C34" s="3" t="s">
        <v>13</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85</v>
      </c>
      <c r="B35" s="3" t="s">
        <v>86</v>
      </c>
      <c r="C35" s="3" t="s">
        <v>16</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87</v>
      </c>
      <c r="B36" s="3" t="s">
        <v>88</v>
      </c>
      <c r="C36" s="3" t="s">
        <v>19</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89</v>
      </c>
      <c r="B37" s="3" t="s">
        <v>90</v>
      </c>
      <c r="C37" s="3" t="s">
        <v>22</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91</v>
      </c>
      <c r="B38" s="3" t="s">
        <v>92</v>
      </c>
      <c r="C38" s="3" t="s">
        <v>25</v>
      </c>
      <c r="D38" s="4">
        <v>91</v>
      </c>
      <c r="E38" s="4">
        <v>13</v>
      </c>
      <c r="F38" s="4">
        <v>79</v>
      </c>
      <c r="G38" s="4">
        <v>85</v>
      </c>
      <c r="H38" s="4">
        <v>67</v>
      </c>
      <c r="I38" s="5">
        <f t="shared" si="0"/>
        <v>335</v>
      </c>
      <c r="J38" s="5">
        <v>500</v>
      </c>
      <c r="K38" s="6">
        <f t="shared" si="1"/>
        <v>0.67</v>
      </c>
      <c r="L38" s="7">
        <f t="shared" si="2"/>
        <v>0.32999999999999996</v>
      </c>
    </row>
    <row r="39" spans="1:12" x14ac:dyDescent="0.35">
      <c r="A39" s="2" t="s">
        <v>93</v>
      </c>
      <c r="B39" s="3" t="s">
        <v>94</v>
      </c>
      <c r="C39" s="3" t="s">
        <v>28</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95</v>
      </c>
      <c r="B40" s="3" t="s">
        <v>96</v>
      </c>
      <c r="C40" s="3" t="s">
        <v>31</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97</v>
      </c>
      <c r="B41" s="3" t="s">
        <v>98</v>
      </c>
      <c r="C41" s="3" t="s">
        <v>34</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99</v>
      </c>
      <c r="B42" s="3" t="s">
        <v>100</v>
      </c>
      <c r="C42" s="3" t="s">
        <v>13</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101</v>
      </c>
      <c r="B43" s="3" t="s">
        <v>102</v>
      </c>
      <c r="C43" s="3" t="s">
        <v>16</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103</v>
      </c>
      <c r="B44" s="3" t="s">
        <v>104</v>
      </c>
      <c r="C44" s="3" t="s">
        <v>19</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105</v>
      </c>
      <c r="B45" s="3" t="s">
        <v>106</v>
      </c>
      <c r="C45" s="3" t="s">
        <v>22</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107</v>
      </c>
      <c r="B46" s="3" t="s">
        <v>108</v>
      </c>
      <c r="C46" s="3" t="s">
        <v>25</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109</v>
      </c>
      <c r="B47" s="3" t="s">
        <v>110</v>
      </c>
      <c r="C47" s="3" t="s">
        <v>28</v>
      </c>
      <c r="D47" s="4">
        <v>49</v>
      </c>
      <c r="E47" s="4">
        <v>82</v>
      </c>
      <c r="F47" s="4">
        <v>95</v>
      </c>
      <c r="G47" s="4">
        <v>46</v>
      </c>
      <c r="H47" s="4">
        <v>78</v>
      </c>
      <c r="I47" s="5">
        <f t="shared" si="0"/>
        <v>350</v>
      </c>
      <c r="J47" s="5">
        <v>500</v>
      </c>
      <c r="K47" s="6">
        <f t="shared" si="1"/>
        <v>0.7</v>
      </c>
      <c r="L47" s="7">
        <f t="shared" si="2"/>
        <v>0.30000000000000004</v>
      </c>
    </row>
    <row r="48" spans="1:12" x14ac:dyDescent="0.35">
      <c r="A48" s="2" t="s">
        <v>111</v>
      </c>
      <c r="B48" s="3" t="s">
        <v>112</v>
      </c>
      <c r="C48" s="3" t="s">
        <v>31</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113</v>
      </c>
      <c r="B49" s="3" t="s">
        <v>114</v>
      </c>
      <c r="C49" s="3" t="s">
        <v>34</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115</v>
      </c>
      <c r="B50" s="3" t="s">
        <v>116</v>
      </c>
      <c r="C50" s="3" t="s">
        <v>13</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117</v>
      </c>
      <c r="B51" s="3" t="s">
        <v>118</v>
      </c>
      <c r="C51" s="3" t="s">
        <v>16</v>
      </c>
      <c r="D51" s="4">
        <v>17</v>
      </c>
      <c r="E51" s="4">
        <v>84</v>
      </c>
      <c r="F51" s="4">
        <v>90</v>
      </c>
      <c r="G51" s="4">
        <v>77</v>
      </c>
      <c r="H51" s="4">
        <v>72</v>
      </c>
      <c r="I51" s="5">
        <f t="shared" si="0"/>
        <v>340</v>
      </c>
      <c r="J51" s="5">
        <v>500</v>
      </c>
      <c r="K51" s="6">
        <f t="shared" si="1"/>
        <v>0.68</v>
      </c>
      <c r="L51" s="7">
        <f t="shared" si="2"/>
        <v>0.31999999999999995</v>
      </c>
    </row>
    <row r="52" spans="1:12" x14ac:dyDescent="0.35">
      <c r="A52" s="2" t="s">
        <v>119</v>
      </c>
      <c r="B52" s="3" t="s">
        <v>120</v>
      </c>
      <c r="C52" s="3" t="s">
        <v>19</v>
      </c>
      <c r="D52" s="4">
        <v>52</v>
      </c>
      <c r="E52" s="4">
        <v>36</v>
      </c>
      <c r="F52" s="4">
        <v>84</v>
      </c>
      <c r="G52" s="4">
        <v>41</v>
      </c>
      <c r="H52" s="4">
        <v>57</v>
      </c>
      <c r="I52" s="5">
        <f t="shared" si="0"/>
        <v>270</v>
      </c>
      <c r="J52" s="5">
        <v>500</v>
      </c>
      <c r="K52" s="6">
        <f t="shared" si="1"/>
        <v>0.54</v>
      </c>
      <c r="L52" s="7">
        <f t="shared" si="2"/>
        <v>0.45999999999999996</v>
      </c>
    </row>
    <row r="53" spans="1:12" x14ac:dyDescent="0.35">
      <c r="A53" s="2" t="s">
        <v>121</v>
      </c>
      <c r="B53" s="3" t="s">
        <v>122</v>
      </c>
      <c r="C53" s="3" t="s">
        <v>22</v>
      </c>
      <c r="D53" s="4">
        <v>65</v>
      </c>
      <c r="E53" s="4">
        <v>67</v>
      </c>
      <c r="F53" s="4">
        <v>72</v>
      </c>
      <c r="G53" s="4">
        <v>22</v>
      </c>
      <c r="H53" s="4">
        <v>23</v>
      </c>
      <c r="I53" s="5">
        <f t="shared" si="0"/>
        <v>249</v>
      </c>
      <c r="J53" s="5">
        <v>500</v>
      </c>
      <c r="K53" s="6">
        <f t="shared" si="1"/>
        <v>0.498</v>
      </c>
      <c r="L53" s="7">
        <f t="shared" si="2"/>
        <v>0.502</v>
      </c>
    </row>
    <row r="54" spans="1:12" x14ac:dyDescent="0.35">
      <c r="A54" s="2" t="s">
        <v>123</v>
      </c>
      <c r="B54" s="3" t="s">
        <v>124</v>
      </c>
      <c r="C54" s="3" t="s">
        <v>25</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125</v>
      </c>
      <c r="B55" s="3" t="s">
        <v>126</v>
      </c>
      <c r="C55" s="3" t="s">
        <v>28</v>
      </c>
      <c r="D55" s="4">
        <v>23</v>
      </c>
      <c r="E55" s="4">
        <v>14</v>
      </c>
      <c r="F55" s="4">
        <v>15</v>
      </c>
      <c r="G55" s="4">
        <v>58</v>
      </c>
      <c r="H55" s="4">
        <v>79</v>
      </c>
      <c r="I55" s="5">
        <f t="shared" si="0"/>
        <v>189</v>
      </c>
      <c r="J55" s="5">
        <v>500</v>
      </c>
      <c r="K55" s="6">
        <f t="shared" si="1"/>
        <v>0.378</v>
      </c>
      <c r="L55" s="7">
        <f t="shared" si="2"/>
        <v>0.622</v>
      </c>
    </row>
    <row r="56" spans="1:12" x14ac:dyDescent="0.35">
      <c r="A56" s="2" t="s">
        <v>127</v>
      </c>
      <c r="B56" s="3" t="s">
        <v>128</v>
      </c>
      <c r="C56" s="3" t="s">
        <v>31</v>
      </c>
      <c r="D56" s="4">
        <v>15</v>
      </c>
      <c r="E56" s="4">
        <v>67</v>
      </c>
      <c r="F56" s="4">
        <v>48</v>
      </c>
      <c r="G56" s="4">
        <v>95</v>
      </c>
      <c r="H56" s="4">
        <v>35</v>
      </c>
      <c r="I56" s="5">
        <f t="shared" si="0"/>
        <v>260</v>
      </c>
      <c r="J56" s="5">
        <v>500</v>
      </c>
      <c r="K56" s="6">
        <f t="shared" si="1"/>
        <v>0.52</v>
      </c>
      <c r="L56" s="7">
        <f t="shared" si="2"/>
        <v>0.48</v>
      </c>
    </row>
    <row r="57" spans="1:12" x14ac:dyDescent="0.35">
      <c r="A57" s="2" t="s">
        <v>129</v>
      </c>
      <c r="B57" s="3" t="s">
        <v>130</v>
      </c>
      <c r="C57" s="3" t="s">
        <v>34</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131</v>
      </c>
      <c r="B58" s="3" t="s">
        <v>132</v>
      </c>
      <c r="C58" s="3" t="s">
        <v>13</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133</v>
      </c>
      <c r="B59" s="3" t="s">
        <v>134</v>
      </c>
      <c r="C59" s="3" t="s">
        <v>16</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135</v>
      </c>
      <c r="B60" s="3" t="s">
        <v>136</v>
      </c>
      <c r="C60" s="3" t="s">
        <v>19</v>
      </c>
      <c r="D60" s="4">
        <v>83</v>
      </c>
      <c r="E60" s="4">
        <v>12</v>
      </c>
      <c r="F60" s="4">
        <v>70</v>
      </c>
      <c r="G60" s="4">
        <v>83</v>
      </c>
      <c r="H60" s="4">
        <v>52</v>
      </c>
      <c r="I60" s="5">
        <f t="shared" si="0"/>
        <v>300</v>
      </c>
      <c r="J60" s="5">
        <v>500</v>
      </c>
      <c r="K60" s="6">
        <f t="shared" si="1"/>
        <v>0.6</v>
      </c>
      <c r="L60" s="7">
        <f t="shared" si="2"/>
        <v>0.4</v>
      </c>
    </row>
    <row r="61" spans="1:12" x14ac:dyDescent="0.35">
      <c r="A61" s="2" t="s">
        <v>137</v>
      </c>
      <c r="B61" s="3" t="s">
        <v>138</v>
      </c>
      <c r="C61" s="3" t="s">
        <v>22</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139</v>
      </c>
      <c r="B62" s="3" t="s">
        <v>140</v>
      </c>
      <c r="C62" s="3" t="s">
        <v>25</v>
      </c>
      <c r="D62" s="4">
        <v>40</v>
      </c>
      <c r="E62" s="4">
        <v>70</v>
      </c>
      <c r="F62" s="4">
        <v>19</v>
      </c>
      <c r="G62" s="4">
        <v>36</v>
      </c>
      <c r="H62" s="4">
        <v>52</v>
      </c>
      <c r="I62" s="5">
        <f t="shared" si="0"/>
        <v>217</v>
      </c>
      <c r="J62" s="5">
        <v>500</v>
      </c>
      <c r="K62" s="6">
        <f t="shared" si="1"/>
        <v>0.434</v>
      </c>
      <c r="L62" s="7">
        <f t="shared" si="2"/>
        <v>0.56600000000000006</v>
      </c>
    </row>
    <row r="63" spans="1:12" x14ac:dyDescent="0.35">
      <c r="A63" s="2" t="s">
        <v>141</v>
      </c>
      <c r="B63" s="3" t="s">
        <v>142</v>
      </c>
      <c r="C63" s="3" t="s">
        <v>28</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143</v>
      </c>
      <c r="B64" s="3" t="s">
        <v>144</v>
      </c>
      <c r="C64" s="3" t="s">
        <v>31</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145</v>
      </c>
      <c r="B65" s="3" t="s">
        <v>146</v>
      </c>
      <c r="C65" s="3" t="s">
        <v>34</v>
      </c>
      <c r="D65" s="4">
        <v>75</v>
      </c>
      <c r="E65" s="4">
        <v>75</v>
      </c>
      <c r="F65" s="4">
        <v>89</v>
      </c>
      <c r="G65" s="4">
        <v>97</v>
      </c>
      <c r="H65" s="4">
        <v>49</v>
      </c>
      <c r="I65" s="5">
        <f t="shared" si="0"/>
        <v>385</v>
      </c>
      <c r="J65" s="5">
        <v>500</v>
      </c>
      <c r="K65" s="6">
        <f t="shared" si="1"/>
        <v>0.77</v>
      </c>
      <c r="L65" s="7">
        <f t="shared" si="2"/>
        <v>0.22999999999999998</v>
      </c>
    </row>
    <row r="66" spans="1:12" x14ac:dyDescent="0.35">
      <c r="A66" s="2" t="s">
        <v>147</v>
      </c>
      <c r="B66" s="3" t="s">
        <v>148</v>
      </c>
      <c r="C66" s="3" t="s">
        <v>13</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149</v>
      </c>
      <c r="B67" s="3" t="s">
        <v>150</v>
      </c>
      <c r="C67" s="3" t="s">
        <v>16</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151</v>
      </c>
      <c r="B68" s="3" t="s">
        <v>152</v>
      </c>
      <c r="C68" s="3" t="s">
        <v>19</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153</v>
      </c>
      <c r="B69" s="3" t="s">
        <v>154</v>
      </c>
      <c r="C69" s="3" t="s">
        <v>22</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155</v>
      </c>
      <c r="B70" s="3" t="s">
        <v>156</v>
      </c>
      <c r="C70" s="3" t="s">
        <v>25</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157</v>
      </c>
      <c r="B71" s="3" t="s">
        <v>158</v>
      </c>
      <c r="C71" s="3" t="s">
        <v>28</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159</v>
      </c>
      <c r="B72" s="3" t="s">
        <v>160</v>
      </c>
      <c r="C72" s="3" t="s">
        <v>31</v>
      </c>
      <c r="D72" s="4">
        <v>68</v>
      </c>
      <c r="E72" s="4">
        <v>36</v>
      </c>
      <c r="F72" s="4">
        <v>15</v>
      </c>
      <c r="G72" s="4">
        <v>20</v>
      </c>
      <c r="H72" s="4">
        <v>17</v>
      </c>
      <c r="I72" s="5">
        <f t="shared" si="3"/>
        <v>156</v>
      </c>
      <c r="J72" s="5">
        <v>500</v>
      </c>
      <c r="K72" s="6">
        <f t="shared" si="4"/>
        <v>0.312</v>
      </c>
      <c r="L72" s="7">
        <f t="shared" si="5"/>
        <v>0.68799999999999994</v>
      </c>
    </row>
    <row r="73" spans="1:12" x14ac:dyDescent="0.35">
      <c r="A73" s="2" t="s">
        <v>161</v>
      </c>
      <c r="B73" s="3" t="s">
        <v>162</v>
      </c>
      <c r="C73" s="3" t="s">
        <v>34</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163</v>
      </c>
      <c r="B74" s="3" t="s">
        <v>164</v>
      </c>
      <c r="C74" s="3" t="s">
        <v>13</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165</v>
      </c>
      <c r="B75" s="3" t="s">
        <v>166</v>
      </c>
      <c r="C75" s="3" t="s">
        <v>16</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167</v>
      </c>
      <c r="B76" s="3" t="s">
        <v>168</v>
      </c>
      <c r="C76" s="3" t="s">
        <v>19</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169</v>
      </c>
      <c r="B77" s="3" t="s">
        <v>170</v>
      </c>
      <c r="C77" s="3" t="s">
        <v>22</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171</v>
      </c>
      <c r="B78" s="3" t="s">
        <v>172</v>
      </c>
      <c r="C78" s="3" t="s">
        <v>25</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173</v>
      </c>
      <c r="B79" s="3" t="s">
        <v>174</v>
      </c>
      <c r="C79" s="3" t="s">
        <v>28</v>
      </c>
      <c r="D79" s="4">
        <v>50</v>
      </c>
      <c r="E79" s="4">
        <v>44</v>
      </c>
      <c r="F79" s="4">
        <v>46</v>
      </c>
      <c r="G79" s="4">
        <v>13</v>
      </c>
      <c r="H79" s="4">
        <v>92</v>
      </c>
      <c r="I79" s="5">
        <f t="shared" si="3"/>
        <v>245</v>
      </c>
      <c r="J79" s="5">
        <v>500</v>
      </c>
      <c r="K79" s="6">
        <f t="shared" si="4"/>
        <v>0.49</v>
      </c>
      <c r="L79" s="7">
        <f t="shared" si="5"/>
        <v>0.51</v>
      </c>
    </row>
    <row r="80" spans="1:12" x14ac:dyDescent="0.35">
      <c r="A80" s="2" t="s">
        <v>175</v>
      </c>
      <c r="B80" s="3" t="s">
        <v>176</v>
      </c>
      <c r="C80" s="3" t="s">
        <v>31</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177</v>
      </c>
      <c r="B81" s="3" t="s">
        <v>178</v>
      </c>
      <c r="C81" s="3" t="s">
        <v>34</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179</v>
      </c>
      <c r="B82" s="3" t="s">
        <v>180</v>
      </c>
      <c r="C82" s="3" t="s">
        <v>13</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181</v>
      </c>
      <c r="B83" s="3" t="s">
        <v>182</v>
      </c>
      <c r="C83" s="3" t="s">
        <v>16</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183</v>
      </c>
      <c r="B84" s="3" t="s">
        <v>184</v>
      </c>
      <c r="C84" s="3" t="s">
        <v>19</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185</v>
      </c>
      <c r="B85" s="3" t="s">
        <v>186</v>
      </c>
      <c r="C85" s="3" t="s">
        <v>22</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187</v>
      </c>
      <c r="B86" s="3" t="s">
        <v>188</v>
      </c>
      <c r="C86" s="3" t="s">
        <v>25</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189</v>
      </c>
      <c r="B87" s="3" t="s">
        <v>190</v>
      </c>
      <c r="C87" s="3" t="s">
        <v>28</v>
      </c>
      <c r="D87" s="4">
        <v>46</v>
      </c>
      <c r="E87" s="4">
        <v>19</v>
      </c>
      <c r="F87" s="4">
        <v>59</v>
      </c>
      <c r="G87" s="4">
        <v>58</v>
      </c>
      <c r="H87" s="4">
        <v>33</v>
      </c>
      <c r="I87" s="5">
        <f t="shared" si="3"/>
        <v>215</v>
      </c>
      <c r="J87" s="5">
        <v>500</v>
      </c>
      <c r="K87" s="6">
        <f t="shared" si="4"/>
        <v>0.43</v>
      </c>
      <c r="L87" s="7">
        <f t="shared" si="5"/>
        <v>0.57000000000000006</v>
      </c>
    </row>
    <row r="88" spans="1:12" x14ac:dyDescent="0.35">
      <c r="A88" s="2" t="s">
        <v>191</v>
      </c>
      <c r="B88" s="3" t="s">
        <v>192</v>
      </c>
      <c r="C88" s="3" t="s">
        <v>31</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193</v>
      </c>
      <c r="B89" s="3" t="s">
        <v>194</v>
      </c>
      <c r="C89" s="3" t="s">
        <v>34</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195</v>
      </c>
      <c r="B90" s="3" t="s">
        <v>196</v>
      </c>
      <c r="C90" s="3" t="s">
        <v>13</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197</v>
      </c>
      <c r="B91" s="3" t="s">
        <v>198</v>
      </c>
      <c r="C91" s="3" t="s">
        <v>16</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199</v>
      </c>
      <c r="B92" s="3" t="s">
        <v>200</v>
      </c>
      <c r="C92" s="3" t="s">
        <v>19</v>
      </c>
      <c r="D92" s="4">
        <v>80</v>
      </c>
      <c r="E92" s="4">
        <v>73</v>
      </c>
      <c r="F92" s="4">
        <v>21</v>
      </c>
      <c r="G92" s="4">
        <v>72</v>
      </c>
      <c r="H92" s="4">
        <v>54</v>
      </c>
      <c r="I92" s="5">
        <f t="shared" si="3"/>
        <v>300</v>
      </c>
      <c r="J92" s="5">
        <v>500</v>
      </c>
      <c r="K92" s="6">
        <f t="shared" si="4"/>
        <v>0.6</v>
      </c>
      <c r="L92" s="7">
        <f t="shared" si="5"/>
        <v>0.4</v>
      </c>
    </row>
    <row r="93" spans="1:12" x14ac:dyDescent="0.35">
      <c r="A93" s="2" t="s">
        <v>201</v>
      </c>
      <c r="B93" s="3" t="s">
        <v>202</v>
      </c>
      <c r="C93" s="3" t="s">
        <v>22</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203</v>
      </c>
      <c r="B94" s="3" t="s">
        <v>204</v>
      </c>
      <c r="C94" s="3" t="s">
        <v>25</v>
      </c>
      <c r="D94" s="4">
        <v>18</v>
      </c>
      <c r="E94" s="4">
        <v>80</v>
      </c>
      <c r="F94" s="4">
        <v>20</v>
      </c>
      <c r="G94" s="4">
        <v>32</v>
      </c>
      <c r="H94" s="4">
        <v>95</v>
      </c>
      <c r="I94" s="5">
        <f t="shared" si="3"/>
        <v>245</v>
      </c>
      <c r="J94" s="5">
        <v>500</v>
      </c>
      <c r="K94" s="6">
        <f t="shared" si="4"/>
        <v>0.49</v>
      </c>
      <c r="L94" s="7">
        <f t="shared" si="5"/>
        <v>0.51</v>
      </c>
    </row>
    <row r="95" spans="1:12" x14ac:dyDescent="0.35">
      <c r="A95" s="2" t="s">
        <v>205</v>
      </c>
      <c r="B95" s="3" t="s">
        <v>206</v>
      </c>
      <c r="C95" s="3" t="s">
        <v>28</v>
      </c>
      <c r="D95" s="4">
        <v>96</v>
      </c>
      <c r="E95" s="4">
        <v>14</v>
      </c>
      <c r="F95" s="4">
        <v>20</v>
      </c>
      <c r="G95" s="4">
        <v>31</v>
      </c>
      <c r="H95" s="4">
        <v>44</v>
      </c>
      <c r="I95" s="5">
        <f t="shared" si="3"/>
        <v>205</v>
      </c>
      <c r="J95" s="5">
        <v>500</v>
      </c>
      <c r="K95" s="6">
        <f t="shared" si="4"/>
        <v>0.41</v>
      </c>
      <c r="L95" s="7">
        <f t="shared" si="5"/>
        <v>0.59000000000000008</v>
      </c>
    </row>
    <row r="96" spans="1:12" x14ac:dyDescent="0.35">
      <c r="A96" s="2" t="s">
        <v>207</v>
      </c>
      <c r="B96" s="3" t="s">
        <v>208</v>
      </c>
      <c r="C96" s="3" t="s">
        <v>31</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209</v>
      </c>
      <c r="B97" s="3" t="s">
        <v>210</v>
      </c>
      <c r="C97" s="3" t="s">
        <v>34</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211</v>
      </c>
      <c r="B98" s="3" t="s">
        <v>212</v>
      </c>
      <c r="C98" s="3" t="s">
        <v>13</v>
      </c>
      <c r="D98" s="4">
        <v>31</v>
      </c>
      <c r="E98" s="4">
        <v>48</v>
      </c>
      <c r="F98" s="4">
        <v>56</v>
      </c>
      <c r="G98" s="4">
        <v>85</v>
      </c>
      <c r="H98" s="4">
        <v>25</v>
      </c>
      <c r="I98" s="5">
        <f t="shared" si="3"/>
        <v>245</v>
      </c>
      <c r="J98" s="5">
        <v>500</v>
      </c>
      <c r="K98" s="6">
        <f t="shared" si="4"/>
        <v>0.49</v>
      </c>
      <c r="L98" s="7">
        <f t="shared" si="5"/>
        <v>0.51</v>
      </c>
    </row>
    <row r="99" spans="1:12" x14ac:dyDescent="0.35">
      <c r="A99" s="2" t="s">
        <v>213</v>
      </c>
      <c r="B99" s="3" t="s">
        <v>214</v>
      </c>
      <c r="C99" s="3" t="s">
        <v>16</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215</v>
      </c>
      <c r="B100" s="3" t="s">
        <v>216</v>
      </c>
      <c r="C100" s="3" t="s">
        <v>19</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217</v>
      </c>
      <c r="B101" s="3" t="s">
        <v>218</v>
      </c>
      <c r="C101" s="3" t="s">
        <v>22</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219</v>
      </c>
      <c r="B102" s="3" t="s">
        <v>220</v>
      </c>
      <c r="C102" s="3" t="s">
        <v>25</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221</v>
      </c>
      <c r="B103" s="3" t="s">
        <v>222</v>
      </c>
      <c r="C103" s="3" t="s">
        <v>28</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223</v>
      </c>
      <c r="B104" s="3" t="s">
        <v>224</v>
      </c>
      <c r="C104" s="3" t="s">
        <v>31</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225</v>
      </c>
      <c r="B105" s="3" t="s">
        <v>226</v>
      </c>
      <c r="C105" s="3" t="s">
        <v>34</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227</v>
      </c>
      <c r="B106" s="3" t="s">
        <v>228</v>
      </c>
      <c r="C106" s="3" t="s">
        <v>13</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229</v>
      </c>
      <c r="B107" s="3" t="s">
        <v>230</v>
      </c>
      <c r="C107" s="3" t="s">
        <v>16</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231</v>
      </c>
      <c r="B108" s="3" t="s">
        <v>232</v>
      </c>
      <c r="C108" s="3" t="s">
        <v>19</v>
      </c>
      <c r="D108" s="4">
        <v>61</v>
      </c>
      <c r="E108" s="4">
        <v>91</v>
      </c>
      <c r="F108" s="4">
        <v>53</v>
      </c>
      <c r="G108" s="4">
        <v>78</v>
      </c>
      <c r="H108" s="4">
        <v>91</v>
      </c>
      <c r="I108" s="5">
        <f t="shared" si="3"/>
        <v>374</v>
      </c>
      <c r="J108" s="5">
        <v>500</v>
      </c>
      <c r="K108" s="6">
        <f t="shared" si="4"/>
        <v>0.748</v>
      </c>
      <c r="L108" s="7">
        <f t="shared" si="5"/>
        <v>0.252</v>
      </c>
    </row>
    <row r="109" spans="1:12" x14ac:dyDescent="0.35">
      <c r="A109" s="2" t="s">
        <v>233</v>
      </c>
      <c r="B109" s="3" t="s">
        <v>234</v>
      </c>
      <c r="C109" s="3" t="s">
        <v>22</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235</v>
      </c>
      <c r="B110" s="3" t="s">
        <v>236</v>
      </c>
      <c r="C110" s="3" t="s">
        <v>25</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237</v>
      </c>
      <c r="B111" s="3" t="s">
        <v>238</v>
      </c>
      <c r="C111" s="3" t="s">
        <v>28</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239</v>
      </c>
      <c r="B112" s="3" t="s">
        <v>240</v>
      </c>
      <c r="C112" s="3" t="s">
        <v>31</v>
      </c>
      <c r="D112" s="4">
        <v>39</v>
      </c>
      <c r="E112" s="4">
        <v>52</v>
      </c>
      <c r="F112" s="4">
        <v>72</v>
      </c>
      <c r="G112" s="4">
        <v>99</v>
      </c>
      <c r="H112" s="4">
        <v>58</v>
      </c>
      <c r="I112" s="5">
        <f t="shared" si="3"/>
        <v>320</v>
      </c>
      <c r="J112" s="5">
        <v>500</v>
      </c>
      <c r="K112" s="6">
        <f t="shared" si="4"/>
        <v>0.64</v>
      </c>
      <c r="L112" s="7">
        <f t="shared" si="5"/>
        <v>0.36</v>
      </c>
    </row>
    <row r="113" spans="1:12" x14ac:dyDescent="0.35">
      <c r="A113" s="2" t="s">
        <v>241</v>
      </c>
      <c r="B113" s="3" t="s">
        <v>242</v>
      </c>
      <c r="C113" s="3" t="s">
        <v>34</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243</v>
      </c>
      <c r="B114" s="3" t="s">
        <v>244</v>
      </c>
      <c r="C114" s="3" t="s">
        <v>13</v>
      </c>
      <c r="D114" s="4">
        <v>43</v>
      </c>
      <c r="E114" s="4">
        <v>88</v>
      </c>
      <c r="F114" s="4">
        <v>35</v>
      </c>
      <c r="G114" s="4">
        <v>54</v>
      </c>
      <c r="H114" s="4">
        <v>91</v>
      </c>
      <c r="I114" s="5">
        <f t="shared" si="3"/>
        <v>311</v>
      </c>
      <c r="J114" s="5">
        <v>500</v>
      </c>
      <c r="K114" s="6">
        <f t="shared" si="4"/>
        <v>0.622</v>
      </c>
      <c r="L114" s="7">
        <f t="shared" si="5"/>
        <v>0.378</v>
      </c>
    </row>
    <row r="115" spans="1:12" x14ac:dyDescent="0.35">
      <c r="A115" s="2" t="s">
        <v>245</v>
      </c>
      <c r="B115" s="3" t="s">
        <v>246</v>
      </c>
      <c r="C115" s="3" t="s">
        <v>16</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247</v>
      </c>
      <c r="B116" s="3" t="s">
        <v>248</v>
      </c>
      <c r="C116" s="3" t="s">
        <v>19</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249</v>
      </c>
      <c r="B117" s="3" t="s">
        <v>250</v>
      </c>
      <c r="C117" s="3" t="s">
        <v>22</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251</v>
      </c>
      <c r="B118" s="3" t="s">
        <v>252</v>
      </c>
      <c r="C118" s="3" t="s">
        <v>25</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253</v>
      </c>
      <c r="B119" s="3" t="s">
        <v>254</v>
      </c>
      <c r="C119" s="3" t="s">
        <v>28</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255</v>
      </c>
      <c r="B120" s="3" t="s">
        <v>256</v>
      </c>
      <c r="C120" s="3" t="s">
        <v>31</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257</v>
      </c>
      <c r="B121" s="3" t="s">
        <v>258</v>
      </c>
      <c r="C121" s="3" t="s">
        <v>34</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259</v>
      </c>
      <c r="B122" s="3" t="s">
        <v>260</v>
      </c>
      <c r="C122" s="3" t="s">
        <v>13</v>
      </c>
      <c r="D122" s="4">
        <v>91</v>
      </c>
      <c r="E122" s="4">
        <v>38</v>
      </c>
      <c r="F122" s="4">
        <v>33</v>
      </c>
      <c r="G122" s="4">
        <v>55</v>
      </c>
      <c r="H122" s="4">
        <v>83</v>
      </c>
      <c r="I122" s="5">
        <f t="shared" si="3"/>
        <v>300</v>
      </c>
      <c r="J122" s="5">
        <v>500</v>
      </c>
      <c r="K122" s="6">
        <f t="shared" si="4"/>
        <v>0.6</v>
      </c>
      <c r="L122" s="7">
        <f t="shared" si="5"/>
        <v>0.4</v>
      </c>
    </row>
    <row r="123" spans="1:12" x14ac:dyDescent="0.35">
      <c r="A123" s="2" t="s">
        <v>261</v>
      </c>
      <c r="B123" s="3" t="s">
        <v>262</v>
      </c>
      <c r="C123" s="3" t="s">
        <v>16</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263</v>
      </c>
      <c r="B124" s="3" t="s">
        <v>264</v>
      </c>
      <c r="C124" s="3" t="s">
        <v>19</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265</v>
      </c>
      <c r="B125" s="3" t="s">
        <v>266</v>
      </c>
      <c r="C125" s="3" t="s">
        <v>22</v>
      </c>
      <c r="D125" s="4">
        <v>26</v>
      </c>
      <c r="E125" s="4">
        <v>16</v>
      </c>
      <c r="F125" s="4">
        <v>61</v>
      </c>
      <c r="G125" s="4">
        <v>92</v>
      </c>
      <c r="H125" s="4">
        <v>50</v>
      </c>
      <c r="I125" s="5">
        <f t="shared" si="3"/>
        <v>245</v>
      </c>
      <c r="J125" s="5">
        <v>500</v>
      </c>
      <c r="K125" s="6">
        <f t="shared" si="4"/>
        <v>0.49</v>
      </c>
      <c r="L125" s="7">
        <f t="shared" si="5"/>
        <v>0.51</v>
      </c>
    </row>
    <row r="126" spans="1:12" x14ac:dyDescent="0.35">
      <c r="A126" s="2" t="s">
        <v>267</v>
      </c>
      <c r="B126" s="3" t="s">
        <v>268</v>
      </c>
      <c r="C126" s="3" t="s">
        <v>25</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269</v>
      </c>
      <c r="B127" s="3" t="s">
        <v>270</v>
      </c>
      <c r="C127" s="3" t="s">
        <v>28</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271</v>
      </c>
      <c r="B128" s="3" t="s">
        <v>272</v>
      </c>
      <c r="C128" s="3" t="s">
        <v>31</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273</v>
      </c>
      <c r="B129" s="3" t="s">
        <v>274</v>
      </c>
      <c r="C129" s="3" t="s">
        <v>34</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275</v>
      </c>
      <c r="B130" s="3" t="s">
        <v>276</v>
      </c>
      <c r="C130" s="3" t="s">
        <v>13</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277</v>
      </c>
      <c r="B131" s="3" t="s">
        <v>278</v>
      </c>
      <c r="C131" s="3" t="s">
        <v>16</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279</v>
      </c>
      <c r="B132" s="3" t="s">
        <v>280</v>
      </c>
      <c r="C132" s="3" t="s">
        <v>19</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281</v>
      </c>
      <c r="B133" s="3" t="s">
        <v>282</v>
      </c>
      <c r="C133" s="3" t="s">
        <v>22</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283</v>
      </c>
      <c r="B134" s="3" t="s">
        <v>284</v>
      </c>
      <c r="C134" s="3" t="s">
        <v>25</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285</v>
      </c>
      <c r="B135" s="3" t="s">
        <v>286</v>
      </c>
      <c r="C135" s="3" t="s">
        <v>28</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287</v>
      </c>
      <c r="B136" s="3" t="s">
        <v>288</v>
      </c>
      <c r="C136" s="3" t="s">
        <v>31</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289</v>
      </c>
      <c r="B137" s="3" t="s">
        <v>290</v>
      </c>
      <c r="C137" s="3" t="s">
        <v>34</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291</v>
      </c>
      <c r="B138" s="3" t="s">
        <v>292</v>
      </c>
      <c r="C138" s="3" t="s">
        <v>13</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293</v>
      </c>
      <c r="B139" s="3" t="s">
        <v>294</v>
      </c>
      <c r="C139" s="3" t="s">
        <v>16</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295</v>
      </c>
      <c r="B140" s="3" t="s">
        <v>296</v>
      </c>
      <c r="C140" s="3" t="s">
        <v>19</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297</v>
      </c>
      <c r="B141" s="3" t="s">
        <v>298</v>
      </c>
      <c r="C141" s="3" t="s">
        <v>22</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299</v>
      </c>
      <c r="B142" s="3" t="s">
        <v>300</v>
      </c>
      <c r="C142" s="3" t="s">
        <v>25</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nikhil yadav</dc:creator>
  <cp:lastModifiedBy>nikhil yadav</cp:lastModifiedBy>
  <dcterms:created xsi:type="dcterms:W3CDTF">2026-09-07T16:00:49Z</dcterms:created>
  <dcterms:modified xsi:type="dcterms:W3CDTF">2026-09-10T15:54:29Z</dcterms:modified>
</cp:coreProperties>
</file>